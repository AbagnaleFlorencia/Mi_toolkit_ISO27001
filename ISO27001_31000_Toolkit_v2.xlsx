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FFF7CE6-7CCD-49D0-9814-B330B4D76516}" xr6:coauthVersionLast="47" xr6:coauthVersionMax="47" xr10:uidLastSave="{00000000-0000-0000-0000-000000000000}"/>
  <bookViews>
    <workbookView xWindow="-108" yWindow="-108" windowWidth="23256" windowHeight="13896" tabRatio="500" firstSheet="5" activeTab="8" xr2:uid="{00000000-000D-0000-FFFF-FFFF00000000}"/>
  </bookViews>
  <sheets>
    <sheet name="Instrucciones" sheetId="1" r:id="rId1"/>
    <sheet name="1-Contexto" sheetId="2" r:id="rId2"/>
    <sheet name="2-Inventario Activos" sheetId="3" r:id="rId3"/>
    <sheet name="3-Identif Riesgos" sheetId="4" r:id="rId4"/>
    <sheet name="4-Matriz Riesgos" sheetId="5" r:id="rId5"/>
    <sheet name="5-Plan Tratamiento" sheetId="6" r:id="rId6"/>
    <sheet name="6-SoA Anexo A" sheetId="7" r:id="rId7"/>
    <sheet name="7-Roadmap" sheetId="8" r:id="rId8"/>
    <sheet name="8-Dashboard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9" l="1"/>
  <c r="D35" i="9"/>
  <c r="E34" i="9"/>
  <c r="D34" i="9"/>
  <c r="E33" i="9"/>
  <c r="D33" i="9"/>
  <c r="E32" i="9"/>
  <c r="D32" i="9"/>
  <c r="C28" i="9"/>
  <c r="D28" i="9" s="1"/>
  <c r="C27" i="9"/>
  <c r="D27" i="9" s="1"/>
  <c r="C26" i="9"/>
  <c r="D26" i="9" s="1"/>
  <c r="C22" i="9"/>
  <c r="D22" i="9" s="1"/>
  <c r="C21" i="9"/>
  <c r="D21" i="9" s="1"/>
  <c r="C20" i="9"/>
  <c r="D20" i="9" s="1"/>
  <c r="C19" i="9"/>
  <c r="D19" i="9" s="1"/>
  <c r="C18" i="9"/>
  <c r="D18" i="9" s="1"/>
  <c r="L5" i="9"/>
  <c r="J5" i="9"/>
  <c r="F5" i="9"/>
  <c r="B5" i="9"/>
  <c r="I17" i="5"/>
  <c r="H17" i="5"/>
  <c r="G17" i="5"/>
  <c r="I16" i="5"/>
  <c r="G16" i="5"/>
  <c r="H16" i="5" s="1"/>
  <c r="G15" i="5"/>
  <c r="H15" i="5" s="1"/>
  <c r="G14" i="5"/>
  <c r="H14" i="5" s="1"/>
  <c r="I13" i="5"/>
  <c r="H13" i="5"/>
  <c r="G13" i="5"/>
  <c r="G12" i="5"/>
  <c r="I12" i="5" s="1"/>
  <c r="I11" i="5"/>
  <c r="H11" i="5"/>
  <c r="G11" i="5"/>
  <c r="G10" i="5"/>
  <c r="I10" i="5" s="1"/>
  <c r="G9" i="5"/>
  <c r="I9" i="5" s="1"/>
  <c r="G8" i="5"/>
  <c r="I8" i="5" s="1"/>
  <c r="G7" i="5"/>
  <c r="I7" i="5" s="1"/>
  <c r="G6" i="5"/>
  <c r="I6" i="5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D5" i="9" s="1"/>
  <c r="H5" i="9" l="1"/>
  <c r="H10" i="5"/>
  <c r="I15" i="5"/>
  <c r="H9" i="5"/>
  <c r="I14" i="5"/>
  <c r="H6" i="5"/>
  <c r="H12" i="5"/>
  <c r="H7" i="5"/>
  <c r="H8" i="5"/>
  <c r="C11" i="9" l="1"/>
  <c r="C14" i="9"/>
  <c r="C13" i="9"/>
  <c r="C12" i="9"/>
  <c r="E12" i="9" l="1"/>
  <c r="D12" i="9"/>
  <c r="E13" i="9"/>
  <c r="D13" i="9"/>
  <c r="E14" i="9"/>
  <c r="D14" i="9"/>
  <c r="E11" i="9"/>
  <c r="D11" i="9"/>
</calcChain>
</file>

<file path=xl/sharedStrings.xml><?xml version="1.0" encoding="utf-8"?>
<sst xmlns="http://schemas.openxmlformats.org/spreadsheetml/2006/main" count="988" uniqueCount="568">
  <si>
    <t>Herramientas de implementación: Contexto · Activos · Riesgos · Tratamiento · SoA | Los colores se actualizan automáticamente</t>
  </si>
  <si>
    <t>ISO/IEC 27001:2022 + ISO 31000:2018 + ISO/IEC 27005:2022  |  Versión 2.0</t>
  </si>
  <si>
    <t>HOJA</t>
  </si>
  <si>
    <t>CONTENIDO</t>
  </si>
  <si>
    <t>1-Contexto</t>
  </si>
  <si>
    <t>Cláusula 4: factores internos/externos, partes interesadas, alcance del SGSI</t>
  </si>
  <si>
    <t>2-Inventario Activos</t>
  </si>
  <si>
    <t>Activos de información por categoría con valoración C/I/D automática — colores dinámicos</t>
  </si>
  <si>
    <t>3-Identif Riesgos</t>
  </si>
  <si>
    <t>Tripla Activo / Amenaza / Vulnerabilidad según ISO 31000 §6.4.2</t>
  </si>
  <si>
    <t>4-Matriz Riesgos</t>
  </si>
  <si>
    <t>Evaluación Probabilidad × Impacto (1-5) — colores y niveles automáticos al cambiar valores</t>
  </si>
  <si>
    <t>5-Plan Tratamiento</t>
  </si>
  <si>
    <t>Opciones Mitigar/Evitar/Transferir/Aceptar con semáforo automático por estado</t>
  </si>
  <si>
    <t>6-SoA Anexo A</t>
  </si>
  <si>
    <t>93 controles completos Anexo A 2022 — colores automáticos por ¿Aplica? y Madurez</t>
  </si>
  <si>
    <t>7-Dashboard</t>
  </si>
  <si>
    <t>KPIs y conteos automáticos que se actualizan al completar el resto de hojas</t>
  </si>
  <si>
    <t>LÓGICA DE COLORES (automática en todas las hojas)</t>
  </si>
  <si>
    <t>🔴 CRÍTICO / NO IMPLEMENTADO</t>
  </si>
  <si>
    <t>Nivel riesgo ≥16 · Activo valor ≥8 · Estado 'No implementado' · ❌ en SoA</t>
  </si>
  <si>
    <t>🟠 ALTO / EN PROCESO</t>
  </si>
  <si>
    <t>Nivel riesgo 11-15 · Valor activo 6-7 · '⚠️ En proceso' · 'MITIGAR'</t>
  </si>
  <si>
    <t>🟡 MEDIO / PARCIAL</t>
  </si>
  <si>
    <t>Nivel riesgo 6-10 · '⚠️ PARCIAL' · 'En implementación'</t>
  </si>
  <si>
    <t>🟢 BAJO / IMPLEMENTADO</t>
  </si>
  <si>
    <t>Nivel riesgo 1-5 · Activo valor ≤5 · '✅ CUMPLE' · 'Implementado y verificado'</t>
  </si>
  <si>
    <t>INSTRUCCIONES DE USO</t>
  </si>
  <si>
    <t>1. Empezar por hoja 1-Contexto: completar las celdas amarillas</t>
  </si>
  <si>
    <t>2. Cargar todos los activos en 2-Inventario — ajustar C, I, D (1-3)</t>
  </si>
  <si>
    <t>3. Completar la tripla en 3-Identif Riesgos</t>
  </si>
  <si>
    <t>4. En 4-Matriz: ajustar Probabilidad (1-5) e Impacto (1-5) — el nivel y color cambian solos</t>
  </si>
  <si>
    <t>5. En 5-Plan Tratamiento: seleccionar tratamiento del desplegable</t>
  </si>
  <si>
    <t>6. En 6-SoA: marcar ¿Aplica? y Madurez con los desplegables de cada fila</t>
  </si>
  <si>
    <t>7. Ver Dashboard para resumen ejecutivo</t>
  </si>
  <si>
    <t>CONTEXTO DE LA ORGANIZACIÓN — Cláusula 4 ISO 27001:2022</t>
  </si>
  <si>
    <t>4.1 Factores internos y externos | 4.2 Partes interesadas | 4.3 Alcance del SGSI</t>
  </si>
  <si>
    <t>Contexto — Cláusula 4</t>
  </si>
  <si>
    <t>4.1  FACTORES INTERNOS</t>
  </si>
  <si>
    <t>Categoría</t>
  </si>
  <si>
    <t>Descripción</t>
  </si>
  <si>
    <t>Impacto en SGSI</t>
  </si>
  <si>
    <t>Notas (editar)</t>
  </si>
  <si>
    <t>Estructura organizacional</t>
  </si>
  <si>
    <t>Tamaño, áreas, niveles jerárquicos y modelo de gobierno</t>
  </si>
  <si>
    <t>Cultura organizacional</t>
  </si>
  <si>
    <t>Nivel de madurez en seguridad, tolerancia al riesgo</t>
  </si>
  <si>
    <t>Procesos de negocio core</t>
  </si>
  <si>
    <t>Procesos críticos y dependencias operativas</t>
  </si>
  <si>
    <t>Infraestructura tecnológica</t>
  </si>
  <si>
    <t>Arquitectura, cloud vs on-premise, sistemas legados</t>
  </si>
  <si>
    <t>Recursos y capacidades</t>
  </si>
  <si>
    <t>Presupuesto, personal especializado, herramientas</t>
  </si>
  <si>
    <t>Objetivos estratégicos</t>
  </si>
  <si>
    <t>Visión, misión y metas de mediano plazo</t>
  </si>
  <si>
    <t>Activos críticos de información</t>
  </si>
  <si>
    <t>Qué información es vital para la operación</t>
  </si>
  <si>
    <t>4.1  FACTORES EXTERNOS</t>
  </si>
  <si>
    <t>Marco legal y regulatorio</t>
  </si>
  <si>
    <t>Leyes de protección de datos, regulación sectorial</t>
  </si>
  <si>
    <t>Entorno competitivo</t>
  </si>
  <si>
    <t>Estándares de seguridad exigidos por el mercado</t>
  </si>
  <si>
    <t>Amenazas del sector</t>
  </si>
  <si>
    <t>Tipo de ciberataques frecuentes en la industria</t>
  </si>
  <si>
    <t>Cadena de suministro</t>
  </si>
  <si>
    <t>Dependencia de proveedores tecnológicos críticos</t>
  </si>
  <si>
    <t>Tendencias tecnológicas</t>
  </si>
  <si>
    <t>IA, cloud, trabajo remoto, IoT, APIs</t>
  </si>
  <si>
    <t>Factores sociopolíticos</t>
  </si>
  <si>
    <t>Estabilidad regulatoria, geopolítica de datos</t>
  </si>
  <si>
    <t>4.2  PARTES INTERESADAS — NECESIDADES Y EXPECTATIVAS</t>
  </si>
  <si>
    <t>Parte interesada</t>
  </si>
  <si>
    <t>Necesidades / Expectativas</t>
  </si>
  <si>
    <t>Requisito para el SGSI</t>
  </si>
  <si>
    <t>Clientes / Usuarios</t>
  </si>
  <si>
    <t>Confidencialidad, disponibilidad, cumplimiento normativo</t>
  </si>
  <si>
    <t>Empleados</t>
  </si>
  <si>
    <t>Claridad en políticas, capacitación, protección de sus datos</t>
  </si>
  <si>
    <t>Accionistas / Directorio</t>
  </si>
  <si>
    <t>Continuidad del negocio, reputación, reducción de riesgo</t>
  </si>
  <si>
    <t>Reguladores / Autoridades</t>
  </si>
  <si>
    <t>Cumplimiento legal, notificación de incidentes</t>
  </si>
  <si>
    <t>Proveedores / Socios</t>
  </si>
  <si>
    <t>Acuerdos de confidencialidad, accesos compartidos</t>
  </si>
  <si>
    <t>Auditores</t>
  </si>
  <si>
    <t>Evidencia de controles, trazabilidad, registros</t>
  </si>
  <si>
    <t>4.3  ALCANCE DEL SGSI (completar la declaración formal)</t>
  </si>
  <si>
    <t>Escribir aquí la declaración de alcance: qué procesos, sistemas, ubicaciones y personal están incluidos. Indicar exclusiones justificadas.</t>
  </si>
  <si>
    <t>INVENTARIO DE ACTIVOS — Anexo A 5.9 ISO 27001:2022</t>
  </si>
  <si>
    <t>Información · Software · Hardware · Servicios · Personas | Valoración CID | Colores automáticos al cambiar valores</t>
  </si>
  <si>
    <t>Inventario de Activos</t>
  </si>
  <si>
    <t>#</t>
  </si>
  <si>
    <t>ID</t>
  </si>
  <si>
    <t>Activo</t>
  </si>
  <si>
    <t>Tipo</t>
  </si>
  <si>
    <t>Propietario</t>
  </si>
  <si>
    <t>C</t>
  </si>
  <si>
    <t>I</t>
  </si>
  <si>
    <t>D</t>
  </si>
  <si>
    <t>Valor
(C+I+D)</t>
  </si>
  <si>
    <t>Criticidad
(automático)</t>
  </si>
  <si>
    <t>Ubicación / Sistema</t>
  </si>
  <si>
    <t>Estado ▼</t>
  </si>
  <si>
    <t>AC-01</t>
  </si>
  <si>
    <t>Base de datos de clientes/pacientes</t>
  </si>
  <si>
    <t>Información</t>
  </si>
  <si>
    <t>Gerencia Operaciones</t>
  </si>
  <si>
    <t>Servidor / Cloud AWS</t>
  </si>
  <si>
    <t>AC-02</t>
  </si>
  <si>
    <t>Datos personales de empleados</t>
  </si>
  <si>
    <t>RRHH</t>
  </si>
  <si>
    <t>Sistema RRHH / HRIS</t>
  </si>
  <si>
    <t>AC-03</t>
  </si>
  <si>
    <t>Código fuente de aplicaciones</t>
  </si>
  <si>
    <t>Información / Software</t>
  </si>
  <si>
    <t>Tecnología</t>
  </si>
  <si>
    <t>GitHub / GitLab</t>
  </si>
  <si>
    <t>AC-04</t>
  </si>
  <si>
    <t>Contratos y documentación legal</t>
  </si>
  <si>
    <t>Legal / Administración</t>
  </si>
  <si>
    <t>Repositorio documental</t>
  </si>
  <si>
    <t>AC-05</t>
  </si>
  <si>
    <t>Registros financieros y facturación</t>
  </si>
  <si>
    <t>Administración</t>
  </si>
  <si>
    <t>ERP / Sistema contable</t>
  </si>
  <si>
    <t>AC-06</t>
  </si>
  <si>
    <t>Aplicación web principal</t>
  </si>
  <si>
    <t>Software</t>
  </si>
  <si>
    <t>AWS — Producción</t>
  </si>
  <si>
    <t>AC-07</t>
  </si>
  <si>
    <t>Aplicación móvil</t>
  </si>
  <si>
    <t>App Store / Play Store</t>
  </si>
  <si>
    <t>AC-08</t>
  </si>
  <si>
    <t>Sistema CRM</t>
  </si>
  <si>
    <t>Comercial</t>
  </si>
  <si>
    <t>Cloud SaaS</t>
  </si>
  <si>
    <t>AC-09</t>
  </si>
  <si>
    <t>Sistema de mesa de ayuda (ticketing)</t>
  </si>
  <si>
    <t>Atención al Cliente</t>
  </si>
  <si>
    <t>AC-10</t>
  </si>
  <si>
    <t>Suite de productividad (Google/M365)</t>
  </si>
  <si>
    <t>Software / Servicio</t>
  </si>
  <si>
    <t>Cloud</t>
  </si>
  <si>
    <t>AC-11</t>
  </si>
  <si>
    <t>Laptops corporativas</t>
  </si>
  <si>
    <t>Hardware</t>
  </si>
  <si>
    <t>Tecnología / RRHH</t>
  </si>
  <si>
    <t>Equipos asignados a empleados</t>
  </si>
  <si>
    <t>AC-12</t>
  </si>
  <si>
    <t>Servidores / infraestructura on-premise</t>
  </si>
  <si>
    <t>Datacenter / Oficina</t>
  </si>
  <si>
    <t>AC-13</t>
  </si>
  <si>
    <t>Dispositivos móviles corporativos</t>
  </si>
  <si>
    <t>Operaciones</t>
  </si>
  <si>
    <t>Asignados a personal de campo</t>
  </si>
  <si>
    <t>AC-14</t>
  </si>
  <si>
    <t>Infraestructura cloud (IaaS/PaaS)</t>
  </si>
  <si>
    <t>Servicio</t>
  </si>
  <si>
    <t>AWS / Azure / GCP</t>
  </si>
  <si>
    <t>AC-15</t>
  </si>
  <si>
    <t>Conectividad VPN / acceso remoto</t>
  </si>
  <si>
    <t>Red corporativa</t>
  </si>
  <si>
    <t>AC-16</t>
  </si>
  <si>
    <t>Servicio de backups</t>
  </si>
  <si>
    <t>Cloud / Almacenamiento externo</t>
  </si>
  <si>
    <t>AC-17</t>
  </si>
  <si>
    <t>Canal de comunicación interna</t>
  </si>
  <si>
    <t>Slack / Teams</t>
  </si>
  <si>
    <t>AC-18</t>
  </si>
  <si>
    <t>Equipo de Tecnología / Desarrollo</t>
  </si>
  <si>
    <t>Personas</t>
  </si>
  <si>
    <t>CTO</t>
  </si>
  <si>
    <t>Interno</t>
  </si>
  <si>
    <t>AC-19</t>
  </si>
  <si>
    <t>Equipo de Seguridad / Compliance</t>
  </si>
  <si>
    <t>Dirección</t>
  </si>
  <si>
    <t>AC-20</t>
  </si>
  <si>
    <t>Personal con acceso a datos sensibles</t>
  </si>
  <si>
    <t>Áreas operativas</t>
  </si>
  <si>
    <t>📐 C/I/D: 1=Bajo 2=Medio 3=Alto  |  Valor=C+I+D (máx 9)  |  Criticidad se calcula sola  |  Los colores de Valor y Criticidad cambian automáticamente al editar C, I o D</t>
  </si>
  <si>
    <t>IDENTIFICACIÓN DE RIESGOS — Activo / Amenaza / Vulnerabilidad</t>
  </si>
  <si>
    <t>ISO 31000 §6.4.2 + ISO/IEC 27005 | Tripla de identificación | Completar celdas amarillas con nuevos riesgos</t>
  </si>
  <si>
    <t>Identificación de Riesgos</t>
  </si>
  <si>
    <t>Activo crítico afectado</t>
  </si>
  <si>
    <t>Amenaza identificada</t>
  </si>
  <si>
    <t>Vulnerabilidad explotada</t>
  </si>
  <si>
    <t>Origen ▼</t>
  </si>
  <si>
    <t>R-01</t>
  </si>
  <si>
    <t>Acceso no autorizado / exfiltración de datos</t>
  </si>
  <si>
    <t>MFA no implementado universalmente; gestión de accesos informal</t>
  </si>
  <si>
    <t>Externo</t>
  </si>
  <si>
    <t>R-02</t>
  </si>
  <si>
    <t>Infraestructura cloud (AWS/Azure)</t>
  </si>
  <si>
    <t>Ransomware con cifrado de datos y caída del servicio</t>
  </si>
  <si>
    <t>Backups sin pruebas de restauración; sin plan de continuidad (BCP)</t>
  </si>
  <si>
    <t>R-03</t>
  </si>
  <si>
    <t>Suite de productividad — correo</t>
  </si>
  <si>
    <t>Phishing / Business Email Compromise (BEC)</t>
  </si>
  <si>
    <t>Capacitación esporádica; sin filtros DMARC/DKIM/SPF configurados</t>
  </si>
  <si>
    <t>R-04</t>
  </si>
  <si>
    <t>Inyección SQL / XSS / explotación OWASP Top 10</t>
  </si>
  <si>
    <t>Sin revisiones de seguridad de código (SAST/DAST) en el SDLC</t>
  </si>
  <si>
    <t>R-05</t>
  </si>
  <si>
    <t>Código fuente (repositorios Git)</t>
  </si>
  <si>
    <t>Robo o manipulación de código / inyección de malware</t>
  </si>
  <si>
    <t>Accesos sin revisión periódica; sin ramas protegidas (branch rules)</t>
  </si>
  <si>
    <t>Interno/Externo</t>
  </si>
  <si>
    <t>R-06</t>
  </si>
  <si>
    <t>Aplicación móvil de campo</t>
  </si>
  <si>
    <t>Robo de credenciales / sesión no autorizada</t>
  </si>
  <si>
    <t>Sin MFA en la app; tokens de sesión con vida útil extendida</t>
  </si>
  <si>
    <t>R-07</t>
  </si>
  <si>
    <t>Interceptación de comunicaciones (Man-in-the-Middle)</t>
  </si>
  <si>
    <t>Sin política formal de acceso remoto; dispositivos BYOD sin control</t>
  </si>
  <si>
    <t>R-08</t>
  </si>
  <si>
    <t>Fraude interno / manipulación de datos financieros</t>
  </si>
  <si>
    <t>Sin separación de funciones; sin auditoría de logs de acceso</t>
  </si>
  <si>
    <t>R-09</t>
  </si>
  <si>
    <t>Equipo de Tecnología / personal clave</t>
  </si>
  <si>
    <t>Pérdida de personal crítico / fuga de conocimiento</t>
  </si>
  <si>
    <t>Sin gestión de conocimiento documentada; sin offboarding formal</t>
  </si>
  <si>
    <t>R-10</t>
  </si>
  <si>
    <t>Robo o pérdida de equipo con datos sin cifrar</t>
  </si>
  <si>
    <t>Sin cifrado de disco obligatorio (BitLocker/FileVault); sin MDM</t>
  </si>
  <si>
    <t>R-11</t>
  </si>
  <si>
    <t>Servidores on-premise</t>
  </si>
  <si>
    <t>Falla de hardware / corte de energía prolongado</t>
  </si>
  <si>
    <t>Sin redundancia (UPS/generador); sin contrato de mantenimiento</t>
  </si>
  <si>
    <t>Ambiental</t>
  </si>
  <si>
    <t>R-12</t>
  </si>
  <si>
    <t>Fuga de datos laborales sensibles por acceso indebido</t>
  </si>
  <si>
    <t>Sin clasificación de información; controles de acceso deficientes</t>
  </si>
  <si>
    <t>MATRIZ DE EVALUACIÓN DE RIESGOS — Probabilidad × Impacto (1-5)</t>
  </si>
  <si>
    <t>ISO 31000 §6.4.3-6.4.4 | Escala 5×5 (máximo 25) | Nivel y color se actualizan automáticamente al cambiar P o I</t>
  </si>
  <si>
    <t>Matriz de Evaluación</t>
  </si>
  <si>
    <t>Riesgo / Escenario</t>
  </si>
  <si>
    <t>Activo afectado</t>
  </si>
  <si>
    <t>Prob.
(1-5) ▼</t>
  </si>
  <si>
    <t>Imp.
(1-5) ▼</t>
  </si>
  <si>
    <t>Nivel
P×I</t>
  </si>
  <si>
    <t>Categoría
(automático)</t>
  </si>
  <si>
    <t>Tratamiento
(automático)</t>
  </si>
  <si>
    <t>Exfiltración de datos por acceso no autorizado</t>
  </si>
  <si>
    <t>BD clientes/pacientes</t>
  </si>
  <si>
    <t>Ransomware con cifrado de datos en cloud</t>
  </si>
  <si>
    <t>Infraestructura cloud</t>
  </si>
  <si>
    <t>Compromiso de cuenta corporativa por phishing/BEC</t>
  </si>
  <si>
    <t>Correo corporativo</t>
  </si>
  <si>
    <t>Inyección SQL/XSS en plataforma web</t>
  </si>
  <si>
    <t>App web principal</t>
  </si>
  <si>
    <t>Robo de código fuente con inyección de malware</t>
  </si>
  <si>
    <t>Repositorios Git</t>
  </si>
  <si>
    <t>Robo de credenciales en app móvil sin MFA</t>
  </si>
  <si>
    <t>App móvil</t>
  </si>
  <si>
    <t>Interceptación de comunicaciones vía VPN</t>
  </si>
  <si>
    <t>VPN / Acceso remoto</t>
  </si>
  <si>
    <t>Fraude interno sobre datos financieros</t>
  </si>
  <si>
    <t>Registros financieros</t>
  </si>
  <si>
    <t>Pérdida de personal clave sin documentación</t>
  </si>
  <si>
    <t>Equipo Tecnología</t>
  </si>
  <si>
    <t>Robo/pérdida de laptop sin cifrado</t>
  </si>
  <si>
    <t>Falla de hardware / corte prolongado de energía</t>
  </si>
  <si>
    <t>Fuga de datos personales de empleados</t>
  </si>
  <si>
    <t>Datos personales empleados</t>
  </si>
  <si>
    <t>🗺  MAPA DE CALOR — Referencia visual Probabilidad × Impacto</t>
  </si>
  <si>
    <t>Imp ▼ / Prob ►</t>
  </si>
  <si>
    <t>P=1</t>
  </si>
  <si>
    <t>P=2</t>
  </si>
  <si>
    <t>P=3</t>
  </si>
  <si>
    <t>P=4</t>
  </si>
  <si>
    <t>P=5</t>
  </si>
  <si>
    <t>I=5</t>
  </si>
  <si>
    <t>I=4</t>
  </si>
  <si>
    <t>I=3</t>
  </si>
  <si>
    <t>I=2</t>
  </si>
  <si>
    <t>I=1</t>
  </si>
  <si>
    <t>Bajo 1-5</t>
  </si>
  <si>
    <t>Medio 6-10</t>
  </si>
  <si>
    <t>Alto 11-15</t>
  </si>
  <si>
    <t>Crítico 16-25</t>
  </si>
  <si>
    <t>PLAN DE TRATAMIENTO DE RIESGOS</t>
  </si>
  <si>
    <t>ISO 31000 §6.5 | Opciones: Mitigar · Evitar · Transferir · Aceptar | Colores automáticos al seleccionar opción</t>
  </si>
  <si>
    <t>Plan de Tratamiento</t>
  </si>
  <si>
    <t>Riesgo</t>
  </si>
  <si>
    <t>Tratamiento ▼</t>
  </si>
  <si>
    <t>Acción concreta / Justificación</t>
  </si>
  <si>
    <t>Responsable</t>
  </si>
  <si>
    <t>Fecha
obj.</t>
  </si>
  <si>
    <t>MITIGAR</t>
  </si>
  <si>
    <t>Implementar MFA obligatorio, RBAC, cifrado en reposo/tránsito. Riesgo crítico — reducción activa es la única opción razonable.</t>
  </si>
  <si>
    <t>CISO / Tecnología</t>
  </si>
  <si>
    <t>Q1</t>
  </si>
  <si>
    <t>⚠️ En proceso</t>
  </si>
  <si>
    <t>Ransomware en infraestructura cloud</t>
  </si>
  <si>
    <t>Política backups 3-2-1 con pruebas de restauración + segmentación de red + BCP/DRP documentado y probado.</t>
  </si>
  <si>
    <t>Compromiso de cuenta por phishing / BEC</t>
  </si>
  <si>
    <t>MFA en correo, DMARC/DKIM/SPF, simulaciones de phishing, capacitación continua (no solo anual).</t>
  </si>
  <si>
    <t>CISO / RRHH</t>
  </si>
  <si>
    <t>🔲 Pendiente</t>
  </si>
  <si>
    <t>Inyección SQL/XSS en app web</t>
  </si>
  <si>
    <t>Integrar SAST/DAST en CI/CD, adoptar OWASP ASVS como estándar, pentesting externo anual.</t>
  </si>
  <si>
    <t>Q2</t>
  </si>
  <si>
    <t>Robo de código fuente / malware en repo</t>
  </si>
  <si>
    <t>Ramas protegidas, PR obligatorio con revisión, SCA (Dependabot), MFA en GitHub/GitLab.</t>
  </si>
  <si>
    <t>Robo de credenciales en app móvil</t>
  </si>
  <si>
    <t>MFA en la app, tokens con expiración reducida, detección de comportamiento anómalo.</t>
  </si>
  <si>
    <t>Interceptación de comunicaciones VPN</t>
  </si>
  <si>
    <t>Política formal de acceso remoto, VPN corporativa con cifrado actualizado, evaluar Zero Trust.</t>
  </si>
  <si>
    <t>Fraude interno en datos financieros</t>
  </si>
  <si>
    <t>TRANSFERIR + MITIGAR</t>
  </si>
  <si>
    <t>Separación de funciones y logs de auditoría (mitigar) + póliza de seguro contra fraude interno (transferir).</t>
  </si>
  <si>
    <t>Administración / Legal</t>
  </si>
  <si>
    <t>Q3</t>
  </si>
  <si>
    <t>Pérdida de personal clave</t>
  </si>
  <si>
    <t>Planes de sucesión, documentación de conocimiento crítico, proceso formal de offboarding con checklist.</t>
  </si>
  <si>
    <t>RRHH / CTO</t>
  </si>
  <si>
    <t>Robo/pérdida de laptop sin cifrar</t>
  </si>
  <si>
    <t>Cifrado de disco obligatorio (BitLocker/FileVault) + gestión remota de dispositivos (MDM).</t>
  </si>
  <si>
    <t>Falla de hardware / corte de energía</t>
  </si>
  <si>
    <t>UPS + generador de respaldo, mantenimiento preventivo, plan de migración parcial a cloud.</t>
  </si>
  <si>
    <t>Clasificación de información, RBAC, auditoría de accesos a sistemas de RRHH.</t>
  </si>
  <si>
    <t>RRHH / DPO</t>
  </si>
  <si>
    <t>DECLARACIÓN DE APLICABILIDAD (SoA) — Anexo A ISO/IEC 27001:2022</t>
  </si>
  <si>
    <t>93 controles en 4 categorías (ISO/IEC 27002:2022) | Seleccionar ¿Aplica? y Madurez — colores automáticos</t>
  </si>
  <si>
    <t>SoA — Statement of Applicability</t>
  </si>
  <si>
    <t>Control</t>
  </si>
  <si>
    <t>Nombre del control</t>
  </si>
  <si>
    <t>¿Aplica? ▼</t>
  </si>
  <si>
    <t>Justificación / Riesgo vinculado</t>
  </si>
  <si>
    <t>Estado de implementación</t>
  </si>
  <si>
    <t>Madurez ▼</t>
  </si>
  <si>
    <t>5.1</t>
  </si>
  <si>
    <t>Políticas de seguridad de la información</t>
  </si>
  <si>
    <t>Organizacional</t>
  </si>
  <si>
    <t>Si</t>
  </si>
  <si>
    <t>No implementado</t>
  </si>
  <si>
    <t>5.2</t>
  </si>
  <si>
    <t>Roles y responsabilidades de seguridad de la información</t>
  </si>
  <si>
    <t>5.3</t>
  </si>
  <si>
    <t>Segregación de funciones</t>
  </si>
  <si>
    <t>5.4</t>
  </si>
  <si>
    <t>Responsabilidades de gestión</t>
  </si>
  <si>
    <t>5.5</t>
  </si>
  <si>
    <t>Contacto con autoridades</t>
  </si>
  <si>
    <t>5.6</t>
  </si>
  <si>
    <t>Contacto con grupos de interés especial</t>
  </si>
  <si>
    <t>5.7</t>
  </si>
  <si>
    <t>Inteligencia de amenazas</t>
  </si>
  <si>
    <t>5.8</t>
  </si>
  <si>
    <t>Seguridad de la información en la gestión de proyectos</t>
  </si>
  <si>
    <t>5.9</t>
  </si>
  <si>
    <t>Inventario de activos de información</t>
  </si>
  <si>
    <t>5.10</t>
  </si>
  <si>
    <t>Uso aceptable de activos de información</t>
  </si>
  <si>
    <t>5.11</t>
  </si>
  <si>
    <t>Devolución de activos</t>
  </si>
  <si>
    <t>5.12</t>
  </si>
  <si>
    <t>Clasificación de la información</t>
  </si>
  <si>
    <t>5.13</t>
  </si>
  <si>
    <t>Etiquetado de la información</t>
  </si>
  <si>
    <t>5.14</t>
  </si>
  <si>
    <t>Transferencia de información</t>
  </si>
  <si>
    <t>5.15</t>
  </si>
  <si>
    <t>Control de acceso</t>
  </si>
  <si>
    <t>5.16</t>
  </si>
  <si>
    <t>Gestión de identidades</t>
  </si>
  <si>
    <t>5.17</t>
  </si>
  <si>
    <t>Información de autenticación</t>
  </si>
  <si>
    <t>5.18</t>
  </si>
  <si>
    <t>Derechos de acceso</t>
  </si>
  <si>
    <t>5.19</t>
  </si>
  <si>
    <t>Seguridad de la información en las relaciones con proveedores</t>
  </si>
  <si>
    <t>5.20</t>
  </si>
  <si>
    <t>Tratamiento de seguridad en acuerdos con proveedores</t>
  </si>
  <si>
    <t>5.21</t>
  </si>
  <si>
    <t>Gestión de seguridad en la cadena de suministro TIC</t>
  </si>
  <si>
    <t>5.22</t>
  </si>
  <si>
    <t>Monitoreo y revisión de servicios de proveedores</t>
  </si>
  <si>
    <t>5.23</t>
  </si>
  <si>
    <t>Seguridad de la información para el uso de servicios en la nube</t>
  </si>
  <si>
    <t>5.24</t>
  </si>
  <si>
    <t>Planificación y preparación para la gestión de incidentes</t>
  </si>
  <si>
    <t>5.25</t>
  </si>
  <si>
    <t>Evaluación y decisión sobre eventos de seguridad</t>
  </si>
  <si>
    <t>5.26</t>
  </si>
  <si>
    <t>Respuesta a incidentes de seguridad de la información</t>
  </si>
  <si>
    <t>5.27</t>
  </si>
  <si>
    <t>Aprendizaje de los incidentes de seguridad</t>
  </si>
  <si>
    <t>5.28</t>
  </si>
  <si>
    <t>Recolección de evidencia</t>
  </si>
  <si>
    <t>5.29</t>
  </si>
  <si>
    <t>Seguridad de la información durante una interrupción</t>
  </si>
  <si>
    <t>5.30</t>
  </si>
  <si>
    <t>Preparación de las TIC para la continuidad del negocio</t>
  </si>
  <si>
    <t>5.31</t>
  </si>
  <si>
    <t>Requisitos legales, estatutarios, reglamentarios y contractuales</t>
  </si>
  <si>
    <t>5.32</t>
  </si>
  <si>
    <t>Derechos de propiedad intelectual</t>
  </si>
  <si>
    <t>5.33</t>
  </si>
  <si>
    <t>Protección de registros</t>
  </si>
  <si>
    <t>5.34</t>
  </si>
  <si>
    <t>Privacidad y protección de datos personales</t>
  </si>
  <si>
    <t>5.35</t>
  </si>
  <si>
    <t>Revisión independiente de la seguridad de la información</t>
  </si>
  <si>
    <t>5.36</t>
  </si>
  <si>
    <t>Cumplimiento con políticas, normas y estándares de seguridad</t>
  </si>
  <si>
    <t>5.37</t>
  </si>
  <si>
    <t>Procedimientos operativos documentados</t>
  </si>
  <si>
    <t>6.1</t>
  </si>
  <si>
    <t>Selección de personal (screening)</t>
  </si>
  <si>
    <t>6.2</t>
  </si>
  <si>
    <t>Términos y condiciones del empleo</t>
  </si>
  <si>
    <t>6.3</t>
  </si>
  <si>
    <t>Concientización, educación y capacitación en seguridad</t>
  </si>
  <si>
    <t>6.4</t>
  </si>
  <si>
    <t>Proceso disciplinario</t>
  </si>
  <si>
    <t>6.5</t>
  </si>
  <si>
    <t>Responsabilidades tras la finalización o cambio de empleo</t>
  </si>
  <si>
    <t>6.6</t>
  </si>
  <si>
    <t>Acuerdos de confidencialidad y no divulgación</t>
  </si>
  <si>
    <t>6.7</t>
  </si>
  <si>
    <t>Trabajo remoto</t>
  </si>
  <si>
    <t>6.8</t>
  </si>
  <si>
    <t>Reporte de eventos de seguridad de la información</t>
  </si>
  <si>
    <t>7.1</t>
  </si>
  <si>
    <t>Perímetros de seguridad física</t>
  </si>
  <si>
    <t>Fisico</t>
  </si>
  <si>
    <t>7.2</t>
  </si>
  <si>
    <t>Entrada física (control de acceso físico)</t>
  </si>
  <si>
    <t>7.3</t>
  </si>
  <si>
    <t>Seguridad de oficinas, despachos y recursos</t>
  </si>
  <si>
    <t>7.4</t>
  </si>
  <si>
    <t>Monitoreo de seguridad física</t>
  </si>
  <si>
    <t>7.5</t>
  </si>
  <si>
    <t>Protección contra amenazas físicas y ambientales</t>
  </si>
  <si>
    <t>7.6</t>
  </si>
  <si>
    <t>Trabajo en áreas seguras</t>
  </si>
  <si>
    <t>7.7</t>
  </si>
  <si>
    <t>Escritorio y pantalla limpios (clear desk / clear screen)</t>
  </si>
  <si>
    <t>7.8</t>
  </si>
  <si>
    <t>Ubicación y protección de equipos</t>
  </si>
  <si>
    <t>7.9</t>
  </si>
  <si>
    <t>Seguridad de activos fuera de las instalaciones</t>
  </si>
  <si>
    <t>7.10</t>
  </si>
  <si>
    <t>Medios de almacenamiento</t>
  </si>
  <si>
    <t>7.11</t>
  </si>
  <si>
    <t>Servicios de soporte (suministros de energía, etc.)</t>
  </si>
  <si>
    <t>7.12</t>
  </si>
  <si>
    <t>Seguridad del cableado</t>
  </si>
  <si>
    <t>7.13</t>
  </si>
  <si>
    <t>Mantenimiento de equipos</t>
  </si>
  <si>
    <t>7.14</t>
  </si>
  <si>
    <t>Eliminación o reutilización segura de equipos</t>
  </si>
  <si>
    <t>8.1</t>
  </si>
  <si>
    <t>Dispositivos de punto final de usuario</t>
  </si>
  <si>
    <t>Tecnologico</t>
  </si>
  <si>
    <t>8.2</t>
  </si>
  <si>
    <t>Derechos de acceso privilegiado</t>
  </si>
  <si>
    <t>8.3</t>
  </si>
  <si>
    <t>Restricción de acceso a la información</t>
  </si>
  <si>
    <t>8.4</t>
  </si>
  <si>
    <t>Acceso al código fuente</t>
  </si>
  <si>
    <t>8.5</t>
  </si>
  <si>
    <t>Autenticación segura</t>
  </si>
  <si>
    <t>8.6</t>
  </si>
  <si>
    <t>Gestión de capacidad</t>
  </si>
  <si>
    <t>8.7</t>
  </si>
  <si>
    <t>Protección contra malware</t>
  </si>
  <si>
    <t>8.8</t>
  </si>
  <si>
    <t>Gestión de vulnerabilidades técnicas</t>
  </si>
  <si>
    <t>8.9</t>
  </si>
  <si>
    <t>Gestión de configuración</t>
  </si>
  <si>
    <t>8.10</t>
  </si>
  <si>
    <t>Eliminación de información</t>
  </si>
  <si>
    <t>8.11</t>
  </si>
  <si>
    <t>Enmascaramiento de datos</t>
  </si>
  <si>
    <t>8.12</t>
  </si>
  <si>
    <t>Prevención de fuga de datos (DLP)</t>
  </si>
  <si>
    <t>8.13</t>
  </si>
  <si>
    <t>Copias de seguridad (backups)</t>
  </si>
  <si>
    <t>8.14</t>
  </si>
  <si>
    <t>Redundancia de instalaciones de procesamiento</t>
  </si>
  <si>
    <t>8.15</t>
  </si>
  <si>
    <t>Registro de eventos (logging)</t>
  </si>
  <si>
    <t>8.16</t>
  </si>
  <si>
    <t>Monitoreo de actividades</t>
  </si>
  <si>
    <t>8.17</t>
  </si>
  <si>
    <t>Sincronización de relojes</t>
  </si>
  <si>
    <t>8.18</t>
  </si>
  <si>
    <t>Uso de programas utilitarios privilegiados</t>
  </si>
  <si>
    <t>8.19</t>
  </si>
  <si>
    <t>Instalación de software en sistemas operativos</t>
  </si>
  <si>
    <t>8.20</t>
  </si>
  <si>
    <t>Seguridad de redes</t>
  </si>
  <si>
    <t>8.21</t>
  </si>
  <si>
    <t>Seguridad de servicios de red</t>
  </si>
  <si>
    <t>8.22</t>
  </si>
  <si>
    <t>Segregación de redes</t>
  </si>
  <si>
    <t>8.23</t>
  </si>
  <si>
    <t>Filtrado web</t>
  </si>
  <si>
    <t>8.24</t>
  </si>
  <si>
    <t>Uso de criptografía</t>
  </si>
  <si>
    <t>8.25</t>
  </si>
  <si>
    <t>Ciclo de vida de desarrollo seguro (SDLC)</t>
  </si>
  <si>
    <t>8.26</t>
  </si>
  <si>
    <t>Requisitos de seguridad de aplicaciones</t>
  </si>
  <si>
    <t>8.27</t>
  </si>
  <si>
    <t>Arquitectura segura e ingeniería de sistemas</t>
  </si>
  <si>
    <t>8.28</t>
  </si>
  <si>
    <t>Codificación segura</t>
  </si>
  <si>
    <t>8.29</t>
  </si>
  <si>
    <t>Pruebas de seguridad en desarrollo y aceptación</t>
  </si>
  <si>
    <t>8.30</t>
  </si>
  <si>
    <t>Desarrollo subcontratado (outsourcing)</t>
  </si>
  <si>
    <t>8.31</t>
  </si>
  <si>
    <t>Separación de entornos (desarrollo/prueba/producción)</t>
  </si>
  <si>
    <t>8.32</t>
  </si>
  <si>
    <t>Gestión de cambios</t>
  </si>
  <si>
    <t>8.33</t>
  </si>
  <si>
    <t>Información de prueba (test data)</t>
  </si>
  <si>
    <t>8.34</t>
  </si>
  <si>
    <t>Protección de sistemas de información durante auditorías</t>
  </si>
  <si>
    <t>Total: 93 controles — 37 Organizacionales · 8 Personas · 14 Físicos · 34 Tecnológicos | Cambiar ¿Aplica? o Madurez actualiza color automáticamente</t>
  </si>
  <si>
    <t>ROADMAP DE IMPLEMENTACIÓN — 12 meses hacia ISO 27001:2022</t>
  </si>
  <si>
    <t>Plan trimestral | Cada hito vinculado a cláusulas y controles del Anexo A</t>
  </si>
  <si>
    <t>Roadmap</t>
  </si>
  <si>
    <t>Q1 · Meses 1-3
FUNDAMENTOS</t>
  </si>
  <si>
    <t>Q2 · Meses 4-6
CONTROLES TÉCNICOS</t>
  </si>
  <si>
    <t>Q3 · Meses 7-9
MADURACIÓN</t>
  </si>
  <si>
    <t>Q4 · Meses 10-12
CERTIFICACIÓN</t>
  </si>
  <si>
    <t>□ Gap analysis completo
□ Definir alcance y política SGSI (Cl. 4-5)
□ Inventario de activos (A 5.9)
□ Clasificación de info (A 5.12)
□ MFA en todos los sistemas críticos
□ Evaluación de riesgos fase 1 (Cl. 6.1.2)
□ Plan de tratamiento aprobado</t>
  </si>
  <si>
    <t>□ Backups 3-2-1 + prueba restauración (A 8.13)
□ RBAC y gestión de accesos (A 5.15-5.18)
□ DevSecOps: SAST/DAST en CI/CD (A 8.25-8.29)
□ Cifrado datos sensibles (A 8.24)
□ DPAs con proveedores cloud (A 5.19-5.23)
□ Procedimiento de incidentes (A 5.24-5.28)
□ Política de trabajo remoto (A 6.7)</t>
  </si>
  <si>
    <t>□ Programa concientización anual (A 6.3)
□ SIEM y monitoreo centralizado (A 8.16)
□ Pentesting externo (A 8.8, 8.29)
□ BCP/DRP documentado y probado (A 5.29-5.30)
□ Proceso offboarding formal (A 6.5, 5.11)
□ Auditoría interna completa (Cl. 9.2)
□ No conformidades abiertas</t>
  </si>
  <si>
    <t>□ Cierre de no conformidades (Cl. 10.1)
□ Revisión por la Dirección (Cl. 9.3)
□ Actualizar SoA y registros
□ Auditoría Stage 1 (documental)
□ Auditoría Stage 2 (verificación en campo)
□ Resolución de hallazgos de Stage 2
🏆 CERTIFICACIÓN ISO 27001:2022</t>
  </si>
  <si>
    <t>DASHBOARD EJECUTIVO — SGSI ISO 27001:2022</t>
  </si>
  <si>
    <t>Todos los indicadores se recalculan automáticamente al actualizar cualquier hoja del toolkit</t>
  </si>
  <si>
    <t>Activos
Inventariados</t>
  </si>
  <si>
    <t>Activos
CRÍTICOS</t>
  </si>
  <si>
    <t>Riesgos
Identificados</t>
  </si>
  <si>
    <t>Riesgos
CRÍTICOS ≥16</t>
  </si>
  <si>
    <t>Controles SoA
Verificados</t>
  </si>
  <si>
    <t>Tratamiento
Completados</t>
  </si>
  <si>
    <t>📊  DISTRIBUCIÓN DE RIESGOS POR NIVEL</t>
  </si>
  <si>
    <t>Nivel</t>
  </si>
  <si>
    <t>Cantidad</t>
  </si>
  <si>
    <t>% del total</t>
  </si>
  <si>
    <t>Barras</t>
  </si>
  <si>
    <t>CRITICO</t>
  </si>
  <si>
    <t>ALTO</t>
  </si>
  <si>
    <t>MEDIO</t>
  </si>
  <si>
    <t>BAJO</t>
  </si>
  <si>
    <t>📋  ESTADO CONTROLES SoA POR MADUREZ</t>
  </si>
  <si>
    <t>Madurez</t>
  </si>
  <si>
    <t>En diseño</t>
  </si>
  <si>
    <t>En implementacion</t>
  </si>
  <si>
    <t>Implementado</t>
  </si>
  <si>
    <t>Implementado y verificado</t>
  </si>
  <si>
    <t>🛡  ESTADO DEL PLAN DE TRATAMIENTO</t>
  </si>
  <si>
    <t>Estado</t>
  </si>
  <si>
    <t>Completado</t>
  </si>
  <si>
    <t>En proceso</t>
  </si>
  <si>
    <t>Pendiente</t>
  </si>
  <si>
    <t>🗂  CONTROLES ANEXO A POR CATEGORÍA</t>
  </si>
  <si>
    <t>Total</t>
  </si>
  <si>
    <t>Si aplica</t>
  </si>
  <si>
    <t>En revisión</t>
  </si>
  <si>
    <t>✅ Completado</t>
  </si>
  <si>
    <t>ISO 27001:2022 + ISO 31000 — SGSI Toolkit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</si>
</sst>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sz val="8"/>
      <color rgb="FF808080"/>
      <name val="Arial"/>
      <charset val="1"/>
    </font>
    <font>
      <b/>
      <sz val="9"/>
      <color rgb="FFFFFFFF"/>
      <name val="Arial"/>
      <charset val="1"/>
    </font>
    <font>
      <b/>
      <sz val="9"/>
      <color rgb="FF404040"/>
      <name val="Arial"/>
      <charset val="1"/>
    </font>
    <font>
      <sz val="9"/>
      <color rgb="FF404040"/>
      <name val="Arial"/>
      <charset val="1"/>
    </font>
    <font>
      <b/>
      <sz val="11"/>
      <color rgb="FFFFFFFF"/>
      <name val="Arial"/>
      <charset val="1"/>
    </font>
    <font>
      <i/>
      <sz val="9"/>
      <color rgb="FF808080"/>
      <name val="Arial"/>
      <charset val="1"/>
    </font>
    <font>
      <b/>
      <sz val="10"/>
      <color rgb="FF404040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i/>
      <sz val="8"/>
      <color rgb="FF808080"/>
      <name val="Arial"/>
      <charset val="1"/>
    </font>
    <font>
      <b/>
      <sz val="8"/>
      <color rgb="FF2E5DA6"/>
      <name val="Arial"/>
      <charset val="1"/>
    </font>
    <font>
      <b/>
      <sz val="12"/>
      <name val="Arial"/>
      <charset val="1"/>
    </font>
    <font>
      <b/>
      <sz val="13"/>
      <name val="Arial"/>
      <charset val="1"/>
    </font>
    <font>
      <sz val="8"/>
      <name val="Arial"/>
      <charset val="1"/>
    </font>
    <font>
      <b/>
      <sz val="10"/>
      <color rgb="FF1E7B34"/>
      <name val="Arial"/>
      <charset val="1"/>
    </font>
    <font>
      <b/>
      <sz val="10"/>
      <color rgb="FFB45309"/>
      <name val="Arial"/>
      <charset val="1"/>
    </font>
    <font>
      <b/>
      <sz val="10"/>
      <color rgb="FFFFFFFF"/>
      <name val="Arial"/>
      <charset val="1"/>
    </font>
    <font>
      <b/>
      <sz val="8"/>
      <color rgb="FF1E7B34"/>
      <name val="Arial"/>
      <charset val="1"/>
    </font>
    <font>
      <b/>
      <sz val="8"/>
      <color rgb="FFB45309"/>
      <name val="Arial"/>
      <charset val="1"/>
    </font>
    <font>
      <b/>
      <sz val="8"/>
      <color rgb="FFFFFFFF"/>
      <name val="Arial"/>
      <charset val="1"/>
    </font>
    <font>
      <sz val="8"/>
      <color rgb="FF404040"/>
      <name val="Arial"/>
      <charset val="1"/>
    </font>
    <font>
      <b/>
      <sz val="9"/>
      <color rgb="FF1F3864"/>
      <name val="Arial"/>
      <charset val="1"/>
    </font>
    <font>
      <b/>
      <sz val="8"/>
      <color rgb="FF1F3864"/>
      <name val="Arial"/>
      <charset val="1"/>
    </font>
    <font>
      <b/>
      <sz val="8"/>
      <name val="Arial"/>
      <charset val="1"/>
    </font>
    <font>
      <b/>
      <sz val="9"/>
      <color rgb="FF6B2FA0"/>
      <name val="Arial"/>
      <charset val="1"/>
    </font>
    <font>
      <b/>
      <sz val="8"/>
      <color rgb="FF6B2FA0"/>
      <name val="Arial"/>
      <charset val="1"/>
    </font>
    <font>
      <b/>
      <sz val="9"/>
      <color rgb="FFE67C13"/>
      <name val="Arial"/>
      <charset val="1"/>
    </font>
    <font>
      <b/>
      <sz val="8"/>
      <color rgb="FFE67C13"/>
      <name val="Arial"/>
      <charset val="1"/>
    </font>
    <font>
      <b/>
      <sz val="9"/>
      <color rgb="FF1E7B34"/>
      <name val="Arial"/>
      <charset val="1"/>
    </font>
    <font>
      <b/>
      <sz val="22"/>
      <color rgb="FFFFFFFF"/>
      <name val="Arial"/>
      <charset val="1"/>
    </font>
    <font>
      <b/>
      <sz val="9"/>
      <color rgb="FF2E5DA6"/>
      <name val="Arial"/>
      <charset val="1"/>
    </font>
    <font>
      <b/>
      <sz val="9"/>
      <color rgb="FFC00000"/>
      <name val="Arial"/>
      <charset val="1"/>
    </font>
    <font>
      <sz val="9"/>
      <name val="Arial"/>
      <charset val="1"/>
    </font>
    <font>
      <sz val="9"/>
      <color rgb="FFC00000"/>
      <name val="Arial"/>
      <charset val="1"/>
    </font>
    <font>
      <sz val="9"/>
      <color rgb="FFE67C13"/>
      <name val="Arial"/>
      <charset val="1"/>
    </font>
    <font>
      <b/>
      <sz val="9"/>
      <color rgb="FFB45309"/>
      <name val="Arial"/>
      <charset val="1"/>
    </font>
    <font>
      <sz val="9"/>
      <color rgb="FFB45309"/>
      <name val="Arial"/>
      <charset val="1"/>
    </font>
    <font>
      <sz val="9"/>
      <color rgb="FF1E7B34"/>
      <name val="Arial"/>
      <charset val="1"/>
    </font>
    <font>
      <b/>
      <sz val="8"/>
      <color rgb="FFC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DA6"/>
        <bgColor rgb="FF3366FF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2CC"/>
        <bgColor rgb="FFFCE4D0"/>
      </patternFill>
    </fill>
    <fill>
      <patternFill patternType="solid">
        <fgColor rgb="FFFFFFFF"/>
        <bgColor rgb="FFF2F2F2"/>
      </patternFill>
    </fill>
    <fill>
      <patternFill patternType="solid">
        <fgColor rgb="FF404040"/>
        <bgColor rgb="FF1F3864"/>
      </patternFill>
    </fill>
    <fill>
      <patternFill patternType="solid">
        <fgColor rgb="FFD5E8D4"/>
        <bgColor rgb="FFD6E4F0"/>
      </patternFill>
    </fill>
    <fill>
      <patternFill patternType="solid">
        <fgColor rgb="FFE67C13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D6E4F0"/>
        <bgColor rgb="FFD5E8D4"/>
      </patternFill>
    </fill>
    <fill>
      <patternFill patternType="solid">
        <fgColor rgb="FFEAD9F7"/>
        <bgColor rgb="FFD6E4F0"/>
      </patternFill>
    </fill>
    <fill>
      <patternFill patternType="solid">
        <fgColor rgb="FFFCE4D0"/>
        <bgColor rgb="FFFFF2CC"/>
      </patternFill>
    </fill>
    <fill>
      <patternFill patternType="solid">
        <fgColor rgb="FF1E7B34"/>
        <bgColor rgb="FF008080"/>
      </patternFill>
    </fill>
    <fill>
      <patternFill patternType="solid">
        <fgColor rgb="FF6B2FA0"/>
        <bgColor rgb="FF993366"/>
      </patternFill>
    </fill>
    <fill>
      <patternFill patternType="solid">
        <fgColor rgb="FFFFCCCC"/>
        <bgColor rgb="FFFCE4D0"/>
      </patternFill>
    </fill>
    <fill>
      <patternFill patternType="solid">
        <fgColor theme="0"/>
        <bgColor rgb="FF40404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9" fillId="16" borderId="2" xfId="0" applyFont="1" applyFill="1" applyBorder="1" applyAlignment="1">
      <alignment horizontal="center" vertical="center" wrapText="1"/>
    </xf>
    <xf numFmtId="0" fontId="19" fillId="10" borderId="2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2" fillId="0" borderId="0" xfId="0" applyFont="1"/>
    <xf numFmtId="0" fontId="8" fillId="6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3" fillId="7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9" fontId="35" fillId="7" borderId="1" xfId="0" applyNumberFormat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9" fontId="35" fillId="6" borderId="1" xfId="0" applyNumberFormat="1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9" fontId="35" fillId="9" borderId="1" xfId="0" applyNumberFormat="1" applyFont="1" applyFill="1" applyBorder="1" applyAlignment="1">
      <alignment horizontal="center" vertical="center"/>
    </xf>
    <xf numFmtId="0" fontId="41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/>
    </xf>
    <xf numFmtId="9" fontId="35" fillId="17" borderId="1" xfId="0" applyNumberFormat="1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left" vertical="center" wrapText="1"/>
    </xf>
    <xf numFmtId="0" fontId="35" fillId="14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left" vertical="center" wrapText="1"/>
    </xf>
    <xf numFmtId="0" fontId="35" fillId="12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/>
    </xf>
    <xf numFmtId="0" fontId="32" fillId="11" borderId="2" xfId="0" applyFont="1" applyFill="1" applyBorder="1" applyAlignment="1">
      <alignment horizontal="center" vertical="center"/>
    </xf>
    <xf numFmtId="0" fontId="32" fillId="15" borderId="2" xfId="0" applyFont="1" applyFill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18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9" fontId="35" fillId="17" borderId="4" xfId="0" applyNumberFormat="1" applyFont="1" applyFill="1" applyBorder="1" applyAlignment="1">
      <alignment horizontal="center" vertical="center"/>
    </xf>
    <xf numFmtId="9" fontId="35" fillId="17" borderId="0" xfId="0" applyNumberFormat="1" applyFont="1" applyFill="1" applyBorder="1" applyAlignment="1">
      <alignment horizontal="center" vertical="center"/>
    </xf>
    <xf numFmtId="9" fontId="35" fillId="14" borderId="4" xfId="0" applyNumberFormat="1" applyFont="1" applyFill="1" applyBorder="1" applyAlignment="1">
      <alignment horizontal="center" vertical="center"/>
    </xf>
    <xf numFmtId="9" fontId="35" fillId="14" borderId="0" xfId="0" applyNumberFormat="1" applyFont="1" applyFill="1" applyBorder="1" applyAlignment="1">
      <alignment horizontal="center" vertical="center"/>
    </xf>
    <xf numFmtId="9" fontId="35" fillId="6" borderId="4" xfId="0" applyNumberFormat="1" applyFont="1" applyFill="1" applyBorder="1" applyAlignment="1">
      <alignment horizontal="center" vertical="center"/>
    </xf>
    <xf numFmtId="9" fontId="35" fillId="6" borderId="0" xfId="0" applyNumberFormat="1" applyFont="1" applyFill="1" applyBorder="1" applyAlignment="1">
      <alignment horizontal="center" vertical="center"/>
    </xf>
    <xf numFmtId="9" fontId="35" fillId="12" borderId="4" xfId="0" applyNumberFormat="1" applyFont="1" applyFill="1" applyBorder="1" applyAlignment="1">
      <alignment horizontal="center" vertical="center"/>
    </xf>
    <xf numFmtId="9" fontId="35" fillId="12" borderId="0" xfId="0" applyNumberFormat="1" applyFont="1" applyFill="1" applyBorder="1" applyAlignment="1">
      <alignment horizontal="center" vertical="center"/>
    </xf>
    <xf numFmtId="9" fontId="35" fillId="9" borderId="4" xfId="0" applyNumberFormat="1" applyFont="1" applyFill="1" applyBorder="1" applyAlignment="1">
      <alignment horizontal="center" vertical="center"/>
    </xf>
    <xf numFmtId="9" fontId="35" fillId="9" borderId="0" xfId="0" applyNumberFormat="1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left"/>
    </xf>
    <xf numFmtId="0" fontId="36" fillId="4" borderId="0" xfId="0" applyFont="1" applyFill="1" applyBorder="1" applyAlignment="1">
      <alignment horizontal="left"/>
    </xf>
    <xf numFmtId="0" fontId="37" fillId="4" borderId="4" xfId="0" applyFont="1" applyFill="1" applyBorder="1" applyAlignment="1">
      <alignment horizontal="left"/>
    </xf>
    <xf numFmtId="0" fontId="37" fillId="4" borderId="0" xfId="0" applyFont="1" applyFill="1" applyBorder="1" applyAlignment="1">
      <alignment horizontal="left"/>
    </xf>
    <xf numFmtId="0" fontId="39" fillId="4" borderId="4" xfId="0" applyFont="1" applyFill="1" applyBorder="1" applyAlignment="1">
      <alignment horizontal="left"/>
    </xf>
    <xf numFmtId="0" fontId="39" fillId="4" borderId="0" xfId="0" applyFont="1" applyFill="1" applyBorder="1" applyAlignment="1">
      <alignment horizontal="left"/>
    </xf>
    <xf numFmtId="0" fontId="40" fillId="4" borderId="4" xfId="0" applyFont="1" applyFill="1" applyBorder="1" applyAlignment="1">
      <alignment horizontal="left"/>
    </xf>
    <xf numFmtId="0" fontId="40" fillId="4" borderId="0" xfId="0" applyFont="1" applyFill="1" applyBorder="1" applyAlignment="1">
      <alignment horizontal="left"/>
    </xf>
  </cellXfs>
  <cellStyles count="1">
    <cellStyle name="Normal" xfId="0" builtinId="0"/>
  </cellStyles>
  <dxfs count="36">
    <dxf>
      <font>
        <b/>
        <sz val="8"/>
        <color rgb="FF1E7B34"/>
        <name val="Arial"/>
        <charset val="1"/>
      </font>
      <fill>
        <patternFill>
          <bgColor rgb="FFD5E8D4"/>
        </patternFill>
      </fill>
    </dxf>
    <dxf>
      <font>
        <b/>
        <sz val="8"/>
        <color rgb="FF2E5DA6"/>
        <name val="Arial"/>
        <charset val="1"/>
      </font>
      <fill>
        <patternFill>
          <bgColor rgb="FFD6E4F0"/>
        </patternFill>
      </fill>
    </dxf>
    <dxf>
      <font>
        <b/>
        <sz val="8"/>
        <color rgb="FFB45309"/>
        <name val="Arial"/>
        <charset val="1"/>
      </font>
      <fill>
        <patternFill>
          <bgColor rgb="FFFFF2CC"/>
        </patternFill>
      </fill>
    </dxf>
    <dxf>
      <font>
        <b/>
        <sz val="8"/>
        <color rgb="FFE67C13"/>
        <name val="Arial"/>
        <charset val="1"/>
      </font>
      <fill>
        <patternFill>
          <bgColor rgb="FFFCE4D0"/>
        </patternFill>
      </fill>
    </dxf>
    <dxf>
      <font>
        <b/>
        <sz val="8"/>
        <color rgb="FFC00000"/>
        <name val="Arial"/>
        <charset val="1"/>
      </font>
      <fill>
        <patternFill>
          <bgColor rgb="FFFFCCCC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C00000"/>
        <name val="Arial"/>
        <charset val="1"/>
      </font>
      <fill>
        <patternFill>
          <bgColor rgb="FFFFCCCC"/>
        </patternFill>
      </fill>
    </dxf>
    <dxf>
      <font>
        <b/>
        <sz val="9"/>
        <color rgb="FFB45309"/>
        <name val="Arial"/>
        <charset val="1"/>
      </font>
      <fill>
        <patternFill>
          <bgColor rgb="FFFFF2CC"/>
        </patternFill>
      </fill>
    </dxf>
    <dxf>
      <font>
        <b/>
        <sz val="9"/>
        <color rgb="FF1E7B34"/>
        <name val="Arial"/>
        <charset val="1"/>
      </font>
      <fill>
        <patternFill>
          <bgColor rgb="FFD5E8D4"/>
        </patternFill>
      </fill>
    </dxf>
    <dxf>
      <font>
        <b/>
        <color rgb="FFC00000"/>
        <name val="Arial"/>
        <charset val="1"/>
      </font>
      <fill>
        <patternFill>
          <bgColor rgb="FFFFCCCC"/>
        </patternFill>
      </fill>
    </dxf>
    <dxf>
      <font>
        <b/>
        <color rgb="FFB45309"/>
        <name val="Arial"/>
        <charset val="1"/>
      </font>
      <fill>
        <patternFill>
          <bgColor rgb="FFFFF2CC"/>
        </patternFill>
      </fill>
    </dxf>
    <dxf>
      <font>
        <b/>
        <color rgb="FF1E7B34"/>
        <name val="Arial"/>
        <charset val="1"/>
      </font>
      <fill>
        <patternFill>
          <bgColor rgb="FFD5E8D4"/>
        </patternFill>
      </fill>
    </dxf>
    <dxf>
      <font>
        <b/>
        <color rgb="FF006064"/>
        <name val="Arial"/>
        <charset val="1"/>
      </font>
      <fill>
        <patternFill>
          <bgColor rgb="FFE0F7FA"/>
        </patternFill>
      </fill>
    </dxf>
    <dxf>
      <font>
        <b/>
        <color rgb="FF006064"/>
        <name val="Arial"/>
        <charset val="1"/>
      </font>
      <fill>
        <patternFill>
          <bgColor rgb="FFE0F7FA"/>
        </patternFill>
      </fill>
    </dxf>
    <dxf>
      <font>
        <b/>
        <color rgb="FF808080"/>
        <name val="Arial"/>
        <charset val="1"/>
      </font>
      <fill>
        <patternFill>
          <bgColor rgb="FFF2F2F2"/>
        </patternFill>
      </fill>
    </dxf>
    <dxf>
      <font>
        <b/>
        <color rgb="FF2E5DA6"/>
        <name val="Arial"/>
        <charset val="1"/>
      </font>
      <fill>
        <patternFill>
          <bgColor rgb="FFD6E4F0"/>
        </patternFill>
      </fill>
    </dxf>
    <dxf>
      <font>
        <b/>
        <color rgb="FF6B2FA0"/>
        <name val="Arial"/>
        <charset val="1"/>
      </font>
      <fill>
        <patternFill>
          <bgColor rgb="FFEAD9F7"/>
        </patternFill>
      </fill>
    </dxf>
    <dxf>
      <font>
        <b/>
        <color rgb="FF1E7B34"/>
        <name val="Arial"/>
        <charset val="1"/>
      </font>
      <fill>
        <patternFill>
          <bgColor rgb="FFD5E8D4"/>
        </patternFill>
      </fill>
    </dxf>
    <dxf>
      <font>
        <b/>
        <sz val="8"/>
        <color rgb="FF1E7B34"/>
        <name val="Arial"/>
        <charset val="1"/>
      </font>
      <fill>
        <patternFill>
          <bgColor rgb="FFD5E8D4"/>
        </patternFill>
      </fill>
    </dxf>
    <dxf>
      <font>
        <b/>
        <sz val="8"/>
        <color rgb="FFB45309"/>
        <name val="Arial"/>
        <charset val="1"/>
      </font>
      <fill>
        <patternFill>
          <bgColor rgb="FFFFF2CC"/>
        </patternFill>
      </fill>
    </dxf>
    <dxf>
      <font>
        <b/>
        <sz val="8"/>
        <color rgb="FFE67C13"/>
        <name val="Arial"/>
        <charset val="1"/>
      </font>
      <fill>
        <patternFill>
          <bgColor rgb="FFFCE4D0"/>
        </patternFill>
      </fill>
    </dxf>
    <dxf>
      <font>
        <b/>
        <sz val="8"/>
        <color rgb="FFC00000"/>
        <name val="Arial"/>
        <charset val="1"/>
      </font>
      <fill>
        <patternFill>
          <bgColor rgb="FFFFCCCC"/>
        </patternFill>
      </fill>
    </dxf>
    <dxf>
      <font>
        <b/>
        <color rgb="FF1E7B34"/>
        <name val="Arial"/>
        <charset val="1"/>
      </font>
      <fill>
        <patternFill>
          <bgColor rgb="FFD5E8D4"/>
        </patternFill>
      </fill>
    </dxf>
    <dxf>
      <font>
        <b/>
        <color rgb="FFB45309"/>
        <name val="Arial"/>
        <charset val="1"/>
      </font>
      <fill>
        <patternFill>
          <bgColor rgb="FFFFF2CC"/>
        </patternFill>
      </fill>
    </dxf>
    <dxf>
      <font>
        <b/>
        <color rgb="FFFFFFFF"/>
        <name val="Arial"/>
        <charset val="1"/>
      </font>
      <fill>
        <patternFill>
          <bgColor rgb="FFE67C13"/>
        </patternFill>
      </fill>
    </dxf>
    <dxf>
      <font>
        <b/>
        <color rgb="FFFFFFFF"/>
        <name val="Arial"/>
        <charset val="1"/>
      </font>
      <fill>
        <patternFill>
          <bgColor rgb="FFC00000"/>
        </patternFill>
      </fill>
    </dxf>
    <dxf>
      <font>
        <b/>
        <sz val="13"/>
        <color rgb="FF1E7B34"/>
        <name val="Arial"/>
        <charset val="1"/>
      </font>
      <fill>
        <patternFill>
          <bgColor rgb="FFD5E8D4"/>
        </patternFill>
      </fill>
    </dxf>
    <dxf>
      <font>
        <b/>
        <sz val="13"/>
        <color rgb="FFB45309"/>
        <name val="Arial"/>
        <charset val="1"/>
      </font>
      <fill>
        <patternFill>
          <bgColor rgb="FFFFF2CC"/>
        </patternFill>
      </fill>
    </dxf>
    <dxf>
      <font>
        <b/>
        <sz val="13"/>
        <color rgb="FFFFFFFF"/>
        <name val="Arial"/>
        <charset val="1"/>
      </font>
      <fill>
        <patternFill>
          <bgColor rgb="FFE67C13"/>
        </patternFill>
      </fill>
    </dxf>
    <dxf>
      <font>
        <b/>
        <sz val="13"/>
        <color rgb="FFFFFFFF"/>
        <name val="Arial"/>
        <charset val="1"/>
      </font>
      <fill>
        <patternFill>
          <bgColor rgb="FFC00000"/>
        </patternFill>
      </fill>
    </dxf>
    <dxf>
      <font>
        <b/>
        <color rgb="FF1E7B34"/>
        <name val="Arial"/>
        <charset val="1"/>
      </font>
      <fill>
        <patternFill>
          <bgColor rgb="FFD5E8D4"/>
        </patternFill>
      </fill>
    </dxf>
    <dxf>
      <font>
        <b/>
        <color rgb="FFB45309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FCCCC"/>
        </patternFill>
      </fill>
    </dxf>
    <dxf>
      <font>
        <b/>
        <color rgb="FF1E7B34"/>
        <name val="Arial"/>
        <charset val="1"/>
      </font>
      <fill>
        <patternFill>
          <bgColor rgb="FFD5E8D4"/>
        </patternFill>
      </fill>
    </dxf>
    <dxf>
      <font>
        <b/>
        <color rgb="FFB45309"/>
        <name val="Arial"/>
        <charset val="1"/>
      </font>
      <fill>
        <patternFill>
          <bgColor rgb="FFFFF2CC"/>
        </patternFill>
      </fill>
    </dxf>
    <dxf>
      <font>
        <b/>
        <color rgb="FFC00000"/>
        <name val="Arial"/>
        <charset val="1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6064"/>
      <rgbColor rgb="FFCCCCCC"/>
      <rgbColor rgb="FF808080"/>
      <rgbColor rgb="FF9999FF"/>
      <rgbColor rgb="FF993366"/>
      <rgbColor rgb="FFFFF2CC"/>
      <rgbColor rgb="FFE0F7FA"/>
      <rgbColor rgb="FF660066"/>
      <rgbColor rgb="FFFF8080"/>
      <rgbColor rgb="FF2E5DA6"/>
      <rgbColor rgb="FFEAD9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5E8D4"/>
      <rgbColor rgb="FFFCE4D0"/>
      <rgbColor rgb="FFD6E4F0"/>
      <rgbColor rgb="FFF2F2F2"/>
      <rgbColor rgb="FFCC99FF"/>
      <rgbColor rgb="FFFFCCCC"/>
      <rgbColor rgb="FF3366FF"/>
      <rgbColor rgb="FF33CCCC"/>
      <rgbColor rgb="FF99CC00"/>
      <rgbColor rgb="FFFFCC00"/>
      <rgbColor rgb="FFFF9900"/>
      <rgbColor rgb="FFE67C13"/>
      <rgbColor rgb="FF666699"/>
      <rgbColor rgb="FF969696"/>
      <rgbColor rgb="FF1F3864"/>
      <rgbColor rgb="FF339966"/>
      <rgbColor rgb="FF003300"/>
      <rgbColor rgb="FF333300"/>
      <rgbColor rgb="FFB45309"/>
      <rgbColor rgb="FF993366"/>
      <rgbColor rgb="FF6B2FA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showGridLines="0" topLeftCell="A7" zoomScaleNormal="100" workbookViewId="0">
      <selection activeCell="H15" sqref="H15"/>
    </sheetView>
  </sheetViews>
  <sheetFormatPr baseColWidth="10" defaultColWidth="8.6640625" defaultRowHeight="14.4" x14ac:dyDescent="0.3"/>
  <cols>
    <col min="1" max="1" width="3" customWidth="1"/>
    <col min="2" max="2" width="65" customWidth="1"/>
    <col min="3" max="3" width="44" customWidth="1"/>
  </cols>
  <sheetData>
    <row r="1" spans="1:3" ht="37.5" customHeight="1" x14ac:dyDescent="0.3">
      <c r="A1" s="89" t="s">
        <v>567</v>
      </c>
      <c r="B1" s="89"/>
      <c r="C1" s="89"/>
    </row>
    <row r="2" spans="1:3" ht="21.75" customHeight="1" x14ac:dyDescent="0.3">
      <c r="A2" s="13" t="s">
        <v>0</v>
      </c>
      <c r="B2" s="13"/>
      <c r="C2" s="13"/>
    </row>
    <row r="3" spans="1:3" ht="18" customHeight="1" x14ac:dyDescent="0.3">
      <c r="A3" s="91" t="s">
        <v>1</v>
      </c>
      <c r="B3" s="91"/>
      <c r="C3" s="91"/>
    </row>
    <row r="5" spans="1:3" ht="18" customHeight="1" x14ac:dyDescent="0.3">
      <c r="B5" s="16" t="s">
        <v>2</v>
      </c>
      <c r="C5" s="16" t="s">
        <v>3</v>
      </c>
    </row>
    <row r="6" spans="1:3" ht="23.4" customHeight="1" x14ac:dyDescent="0.3">
      <c r="B6" s="17" t="s">
        <v>4</v>
      </c>
      <c r="C6" s="18" t="s">
        <v>5</v>
      </c>
    </row>
    <row r="7" spans="1:3" ht="24" customHeight="1" x14ac:dyDescent="0.3">
      <c r="B7" s="17" t="s">
        <v>6</v>
      </c>
      <c r="C7" s="18" t="s">
        <v>7</v>
      </c>
    </row>
    <row r="8" spans="1:3" ht="23.4" customHeight="1" x14ac:dyDescent="0.3">
      <c r="B8" s="17" t="s">
        <v>8</v>
      </c>
      <c r="C8" s="18" t="s">
        <v>9</v>
      </c>
    </row>
    <row r="9" spans="1:3" ht="22.8" customHeight="1" x14ac:dyDescent="0.3">
      <c r="B9" s="17" t="s">
        <v>10</v>
      </c>
      <c r="C9" s="18" t="s">
        <v>11</v>
      </c>
    </row>
    <row r="10" spans="1:3" ht="22.2" customHeight="1" x14ac:dyDescent="0.3">
      <c r="B10" s="17" t="s">
        <v>12</v>
      </c>
      <c r="C10" s="18" t="s">
        <v>13</v>
      </c>
    </row>
    <row r="11" spans="1:3" ht="27" customHeight="1" x14ac:dyDescent="0.3">
      <c r="B11" s="17" t="s">
        <v>14</v>
      </c>
      <c r="C11" s="18" t="s">
        <v>15</v>
      </c>
    </row>
    <row r="12" spans="1:3" ht="25.8" customHeight="1" x14ac:dyDescent="0.3">
      <c r="B12" s="17" t="s">
        <v>16</v>
      </c>
      <c r="C12" s="18" t="s">
        <v>17</v>
      </c>
    </row>
    <row r="13" spans="1:3" ht="18" customHeight="1" x14ac:dyDescent="0.3"/>
    <row r="14" spans="1:3" ht="18" customHeight="1" x14ac:dyDescent="0.3">
      <c r="B14" s="12" t="s">
        <v>18</v>
      </c>
      <c r="C14" s="12"/>
    </row>
    <row r="15" spans="1:3" ht="27.6" customHeight="1" x14ac:dyDescent="0.3">
      <c r="B15" s="17" t="s">
        <v>19</v>
      </c>
      <c r="C15" s="18" t="s">
        <v>20</v>
      </c>
    </row>
    <row r="16" spans="1:3" ht="21.6" customHeight="1" x14ac:dyDescent="0.3">
      <c r="B16" s="17" t="s">
        <v>21</v>
      </c>
      <c r="C16" s="18" t="s">
        <v>22</v>
      </c>
    </row>
    <row r="17" spans="2:3" ht="25.2" customHeight="1" x14ac:dyDescent="0.3">
      <c r="B17" s="17" t="s">
        <v>23</v>
      </c>
      <c r="C17" s="18" t="s">
        <v>24</v>
      </c>
    </row>
    <row r="18" spans="2:3" ht="23.4" customHeight="1" x14ac:dyDescent="0.3">
      <c r="B18" s="17" t="s">
        <v>25</v>
      </c>
      <c r="C18" s="18" t="s">
        <v>26</v>
      </c>
    </row>
    <row r="19" spans="2:3" ht="18" customHeight="1" x14ac:dyDescent="0.3"/>
    <row r="20" spans="2:3" ht="18" customHeight="1" x14ac:dyDescent="0.3">
      <c r="B20" s="12" t="s">
        <v>27</v>
      </c>
      <c r="C20" s="12"/>
    </row>
    <row r="21" spans="2:3" ht="18" customHeight="1" x14ac:dyDescent="0.3">
      <c r="B21" s="12" t="s">
        <v>28</v>
      </c>
      <c r="C21" s="12"/>
    </row>
    <row r="22" spans="2:3" ht="18" customHeight="1" x14ac:dyDescent="0.3">
      <c r="B22" s="12" t="s">
        <v>29</v>
      </c>
      <c r="C22" s="12"/>
    </row>
    <row r="23" spans="2:3" ht="18" customHeight="1" x14ac:dyDescent="0.3">
      <c r="B23" s="12" t="s">
        <v>30</v>
      </c>
      <c r="C23" s="12"/>
    </row>
    <row r="24" spans="2:3" ht="18" customHeight="1" x14ac:dyDescent="0.3">
      <c r="B24" s="12" t="s">
        <v>31</v>
      </c>
      <c r="C24" s="12"/>
    </row>
    <row r="25" spans="2:3" ht="18" customHeight="1" x14ac:dyDescent="0.3">
      <c r="B25" s="12" t="s">
        <v>32</v>
      </c>
      <c r="C25" s="12"/>
    </row>
    <row r="26" spans="2:3" ht="18" customHeight="1" x14ac:dyDescent="0.3">
      <c r="B26" s="12" t="s">
        <v>33</v>
      </c>
      <c r="C26" s="12"/>
    </row>
    <row r="27" spans="2:3" ht="18" customHeight="1" x14ac:dyDescent="0.3">
      <c r="B27" s="12" t="s">
        <v>34</v>
      </c>
      <c r="C27" s="12"/>
    </row>
  </sheetData>
  <mergeCells count="12">
    <mergeCell ref="B23:C23"/>
    <mergeCell ref="B24:C24"/>
    <mergeCell ref="B25:C25"/>
    <mergeCell ref="B26:C26"/>
    <mergeCell ref="B27:C27"/>
    <mergeCell ref="B20:C20"/>
    <mergeCell ref="B21:C21"/>
    <mergeCell ref="B22:C22"/>
    <mergeCell ref="A1:C1"/>
    <mergeCell ref="A2:C2"/>
    <mergeCell ref="B14:C14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G6" sqref="G6"/>
    </sheetView>
  </sheetViews>
  <sheetFormatPr baseColWidth="10" defaultColWidth="8.6640625" defaultRowHeight="14.4" x14ac:dyDescent="0.3"/>
  <cols>
    <col min="1" max="1" width="3" customWidth="1"/>
    <col min="2" max="2" width="24" customWidth="1"/>
    <col min="3" max="3" width="46" customWidth="1"/>
    <col min="4" max="4" width="22" customWidth="1"/>
    <col min="5" max="5" width="18" customWidth="1"/>
  </cols>
  <sheetData>
    <row r="1" spans="1:5" ht="37.5" customHeight="1" x14ac:dyDescent="0.3">
      <c r="A1" s="14" t="s">
        <v>35</v>
      </c>
      <c r="B1" s="14"/>
      <c r="C1" s="14"/>
      <c r="D1" s="14"/>
      <c r="E1" s="14"/>
    </row>
    <row r="2" spans="1:5" ht="21.75" customHeight="1" x14ac:dyDescent="0.3">
      <c r="A2" s="13" t="s">
        <v>36</v>
      </c>
      <c r="B2" s="13"/>
      <c r="C2" s="13"/>
      <c r="D2" s="13"/>
      <c r="E2" s="13"/>
    </row>
    <row r="3" spans="1:5" ht="18" customHeight="1" x14ac:dyDescent="0.3">
      <c r="A3" s="91" t="s">
        <v>37</v>
      </c>
      <c r="B3" s="91"/>
      <c r="C3" s="91"/>
      <c r="D3" s="91"/>
      <c r="E3" s="91"/>
    </row>
    <row r="5" spans="1:5" ht="19.5" customHeight="1" x14ac:dyDescent="0.3">
      <c r="B5" s="12" t="s">
        <v>38</v>
      </c>
      <c r="C5" s="12"/>
      <c r="D5" s="12"/>
      <c r="E5" s="12"/>
    </row>
    <row r="6" spans="1:5" ht="24" customHeight="1" x14ac:dyDescent="0.3">
      <c r="B6" s="16" t="s">
        <v>39</v>
      </c>
      <c r="C6" s="16" t="s">
        <v>40</v>
      </c>
      <c r="D6" s="16" t="s">
        <v>41</v>
      </c>
      <c r="E6" s="16" t="s">
        <v>42</v>
      </c>
    </row>
    <row r="7" spans="1:5" ht="30" customHeight="1" x14ac:dyDescent="0.3">
      <c r="B7" s="17" t="s">
        <v>43</v>
      </c>
      <c r="C7" s="18" t="s">
        <v>44</v>
      </c>
      <c r="D7" s="19"/>
      <c r="E7" s="19"/>
    </row>
    <row r="8" spans="1:5" ht="30" customHeight="1" x14ac:dyDescent="0.3">
      <c r="B8" s="20" t="s">
        <v>45</v>
      </c>
      <c r="C8" s="21" t="s">
        <v>46</v>
      </c>
      <c r="D8" s="19"/>
      <c r="E8" s="19"/>
    </row>
    <row r="9" spans="1:5" ht="30" customHeight="1" x14ac:dyDescent="0.3">
      <c r="B9" s="17" t="s">
        <v>47</v>
      </c>
      <c r="C9" s="18" t="s">
        <v>48</v>
      </c>
      <c r="D9" s="19"/>
      <c r="E9" s="19"/>
    </row>
    <row r="10" spans="1:5" ht="30" customHeight="1" x14ac:dyDescent="0.3">
      <c r="B10" s="20" t="s">
        <v>49</v>
      </c>
      <c r="C10" s="21" t="s">
        <v>50</v>
      </c>
      <c r="D10" s="19"/>
      <c r="E10" s="19"/>
    </row>
    <row r="11" spans="1:5" ht="30" customHeight="1" x14ac:dyDescent="0.3">
      <c r="B11" s="17" t="s">
        <v>51</v>
      </c>
      <c r="C11" s="18" t="s">
        <v>52</v>
      </c>
      <c r="D11" s="19"/>
      <c r="E11" s="19"/>
    </row>
    <row r="12" spans="1:5" ht="30" customHeight="1" x14ac:dyDescent="0.3">
      <c r="B12" s="20" t="s">
        <v>53</v>
      </c>
      <c r="C12" s="21" t="s">
        <v>54</v>
      </c>
      <c r="D12" s="19"/>
      <c r="E12" s="19"/>
    </row>
    <row r="13" spans="1:5" ht="30" customHeight="1" x14ac:dyDescent="0.3">
      <c r="B13" s="17" t="s">
        <v>55</v>
      </c>
      <c r="C13" s="18" t="s">
        <v>56</v>
      </c>
      <c r="D13" s="19"/>
      <c r="E13" s="19"/>
    </row>
    <row r="16" spans="1:5" ht="19.5" customHeight="1" x14ac:dyDescent="0.3">
      <c r="B16" s="12" t="s">
        <v>57</v>
      </c>
      <c r="C16" s="12"/>
      <c r="D16" s="12"/>
      <c r="E16" s="12"/>
    </row>
    <row r="17" spans="2:5" ht="24" customHeight="1" x14ac:dyDescent="0.3">
      <c r="B17" s="16" t="s">
        <v>39</v>
      </c>
      <c r="C17" s="16" t="s">
        <v>40</v>
      </c>
      <c r="D17" s="16" t="s">
        <v>41</v>
      </c>
      <c r="E17" s="16" t="s">
        <v>42</v>
      </c>
    </row>
    <row r="18" spans="2:5" ht="30" customHeight="1" x14ac:dyDescent="0.3">
      <c r="B18" s="17" t="s">
        <v>58</v>
      </c>
      <c r="C18" s="18" t="s">
        <v>59</v>
      </c>
      <c r="D18" s="19"/>
      <c r="E18" s="19"/>
    </row>
    <row r="19" spans="2:5" ht="30" customHeight="1" x14ac:dyDescent="0.3">
      <c r="B19" s="20" t="s">
        <v>60</v>
      </c>
      <c r="C19" s="21" t="s">
        <v>61</v>
      </c>
      <c r="D19" s="19"/>
      <c r="E19" s="19"/>
    </row>
    <row r="20" spans="2:5" ht="30" customHeight="1" x14ac:dyDescent="0.3">
      <c r="B20" s="17" t="s">
        <v>62</v>
      </c>
      <c r="C20" s="18" t="s">
        <v>63</v>
      </c>
      <c r="D20" s="19"/>
      <c r="E20" s="19"/>
    </row>
    <row r="21" spans="2:5" ht="30" customHeight="1" x14ac:dyDescent="0.3">
      <c r="B21" s="20" t="s">
        <v>64</v>
      </c>
      <c r="C21" s="21" t="s">
        <v>65</v>
      </c>
      <c r="D21" s="19"/>
      <c r="E21" s="19"/>
    </row>
    <row r="22" spans="2:5" ht="30" customHeight="1" x14ac:dyDescent="0.3">
      <c r="B22" s="17" t="s">
        <v>66</v>
      </c>
      <c r="C22" s="18" t="s">
        <v>67</v>
      </c>
      <c r="D22" s="19"/>
      <c r="E22" s="19"/>
    </row>
    <row r="23" spans="2:5" ht="30" customHeight="1" x14ac:dyDescent="0.3">
      <c r="B23" s="20" t="s">
        <v>68</v>
      </c>
      <c r="C23" s="21" t="s">
        <v>69</v>
      </c>
      <c r="D23" s="19"/>
      <c r="E23" s="19"/>
    </row>
    <row r="26" spans="2:5" ht="19.5" customHeight="1" x14ac:dyDescent="0.3">
      <c r="B26" s="12" t="s">
        <v>70</v>
      </c>
      <c r="C26" s="12"/>
      <c r="D26" s="12"/>
      <c r="E26" s="12"/>
    </row>
    <row r="27" spans="2:5" ht="24" customHeight="1" x14ac:dyDescent="0.3">
      <c r="B27" s="16" t="s">
        <v>71</v>
      </c>
      <c r="C27" s="16" t="s">
        <v>72</v>
      </c>
      <c r="D27" s="16" t="s">
        <v>73</v>
      </c>
      <c r="E27" s="16" t="s">
        <v>42</v>
      </c>
    </row>
    <row r="28" spans="2:5" ht="30" customHeight="1" x14ac:dyDescent="0.3">
      <c r="B28" s="17" t="s">
        <v>74</v>
      </c>
      <c r="C28" s="18" t="s">
        <v>75</v>
      </c>
      <c r="D28" s="19"/>
      <c r="E28" s="19"/>
    </row>
    <row r="29" spans="2:5" ht="30" customHeight="1" x14ac:dyDescent="0.3">
      <c r="B29" s="20" t="s">
        <v>76</v>
      </c>
      <c r="C29" s="21" t="s">
        <v>77</v>
      </c>
      <c r="D29" s="19"/>
      <c r="E29" s="19"/>
    </row>
    <row r="30" spans="2:5" ht="30" customHeight="1" x14ac:dyDescent="0.3">
      <c r="B30" s="17" t="s">
        <v>78</v>
      </c>
      <c r="C30" s="18" t="s">
        <v>79</v>
      </c>
      <c r="D30" s="19"/>
      <c r="E30" s="19"/>
    </row>
    <row r="31" spans="2:5" ht="30" customHeight="1" x14ac:dyDescent="0.3">
      <c r="B31" s="20" t="s">
        <v>80</v>
      </c>
      <c r="C31" s="21" t="s">
        <v>81</v>
      </c>
      <c r="D31" s="19"/>
      <c r="E31" s="19"/>
    </row>
    <row r="32" spans="2:5" ht="30" customHeight="1" x14ac:dyDescent="0.3">
      <c r="B32" s="17" t="s">
        <v>82</v>
      </c>
      <c r="C32" s="18" t="s">
        <v>83</v>
      </c>
      <c r="D32" s="19"/>
      <c r="E32" s="19"/>
    </row>
    <row r="33" spans="2:5" ht="30" customHeight="1" x14ac:dyDescent="0.3">
      <c r="B33" s="20" t="s">
        <v>84</v>
      </c>
      <c r="C33" s="21" t="s">
        <v>85</v>
      </c>
      <c r="D33" s="19"/>
      <c r="E33" s="19"/>
    </row>
    <row r="36" spans="2:5" ht="19.5" customHeight="1" x14ac:dyDescent="0.3">
      <c r="B36" s="12" t="s">
        <v>86</v>
      </c>
      <c r="C36" s="12"/>
      <c r="D36" s="12"/>
      <c r="E36" s="12"/>
    </row>
    <row r="37" spans="2:5" ht="79.5" customHeight="1" x14ac:dyDescent="0.3">
      <c r="B37" s="11" t="s">
        <v>87</v>
      </c>
      <c r="C37" s="11"/>
      <c r="D37" s="11"/>
      <c r="E37" s="11"/>
    </row>
  </sheetData>
  <mergeCells count="8">
    <mergeCell ref="B36:E36"/>
    <mergeCell ref="B37:E37"/>
    <mergeCell ref="A3:E3"/>
    <mergeCell ref="A1:E1"/>
    <mergeCell ref="A2:E2"/>
    <mergeCell ref="B5:E5"/>
    <mergeCell ref="B16:E16"/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showGridLines="0" zoomScaleNormal="100" workbookViewId="0">
      <pane xSplit="2" ySplit="5" topLeftCell="C12" activePane="bottomRight" state="frozen"/>
      <selection pane="topRight" activeCell="C1" sqref="C1"/>
      <selection pane="bottomLeft" activeCell="A6" sqref="A6"/>
      <selection pane="bottomRight" activeCell="F6" sqref="F6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27" customWidth="1"/>
    <col min="4" max="4" width="16" customWidth="1"/>
    <col min="5" max="5" width="18" customWidth="1"/>
    <col min="6" max="8" width="6" customWidth="1"/>
    <col min="9" max="9" width="9" customWidth="1"/>
    <col min="10" max="10" width="14" customWidth="1"/>
    <col min="11" max="11" width="18" customWidth="1"/>
    <col min="12" max="12" width="12" customWidth="1"/>
  </cols>
  <sheetData>
    <row r="1" spans="1:12" ht="37.5" customHeight="1" x14ac:dyDescent="0.3">
      <c r="A1" s="14" t="s">
        <v>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 x14ac:dyDescent="0.3">
      <c r="A2" s="13" t="s">
        <v>89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8" customHeight="1" x14ac:dyDescent="0.3">
      <c r="A3" s="15" t="s">
        <v>90</v>
      </c>
    </row>
    <row r="5" spans="1:12" ht="36" customHeight="1" x14ac:dyDescent="0.3">
      <c r="A5" s="16" t="s">
        <v>91</v>
      </c>
      <c r="B5" s="16" t="s">
        <v>92</v>
      </c>
      <c r="C5" s="16" t="s">
        <v>93</v>
      </c>
      <c r="D5" s="16" t="s">
        <v>94</v>
      </c>
      <c r="E5" s="16" t="s">
        <v>95</v>
      </c>
      <c r="F5" s="16" t="s">
        <v>96</v>
      </c>
      <c r="G5" s="16" t="s">
        <v>97</v>
      </c>
      <c r="H5" s="16" t="s">
        <v>98</v>
      </c>
      <c r="I5" s="16" t="s">
        <v>99</v>
      </c>
      <c r="J5" s="16" t="s">
        <v>100</v>
      </c>
      <c r="K5" s="16" t="s">
        <v>101</v>
      </c>
      <c r="L5" s="16" t="s">
        <v>102</v>
      </c>
    </row>
    <row r="6" spans="1:12" ht="21.75" customHeight="1" x14ac:dyDescent="0.3">
      <c r="A6" s="22">
        <v>1</v>
      </c>
      <c r="B6" s="22" t="s">
        <v>103</v>
      </c>
      <c r="C6" s="23" t="s">
        <v>104</v>
      </c>
      <c r="D6" s="24" t="s">
        <v>105</v>
      </c>
      <c r="E6" s="24" t="s">
        <v>106</v>
      </c>
      <c r="F6" s="25">
        <v>1</v>
      </c>
      <c r="G6" s="25">
        <v>1</v>
      </c>
      <c r="H6" s="25">
        <v>1</v>
      </c>
      <c r="I6" s="26">
        <f t="shared" ref="I6:I25" si="0">F6+G6+H6</f>
        <v>3</v>
      </c>
      <c r="J6" s="27" t="str">
        <f t="shared" ref="J6:J25" si="1">IF(I6&gt;=8,"CRITICO",IF(I6&gt;=6,"IMPORTANTE","NORMAL"))</f>
        <v>NORMAL</v>
      </c>
      <c r="K6" s="24" t="s">
        <v>107</v>
      </c>
      <c r="L6" s="28" t="s">
        <v>565</v>
      </c>
    </row>
    <row r="7" spans="1:12" ht="21.75" customHeight="1" x14ac:dyDescent="0.3">
      <c r="A7" s="29">
        <v>2</v>
      </c>
      <c r="B7" s="29" t="s">
        <v>108</v>
      </c>
      <c r="C7" s="20" t="s">
        <v>109</v>
      </c>
      <c r="D7" s="21" t="s">
        <v>105</v>
      </c>
      <c r="E7" s="21" t="s">
        <v>110</v>
      </c>
      <c r="F7" s="25">
        <v>3</v>
      </c>
      <c r="G7" s="25">
        <v>3</v>
      </c>
      <c r="H7" s="25">
        <v>2</v>
      </c>
      <c r="I7" s="26">
        <f t="shared" si="0"/>
        <v>8</v>
      </c>
      <c r="J7" s="27" t="str">
        <f t="shared" si="1"/>
        <v>CRITICO</v>
      </c>
      <c r="K7" s="21" t="s">
        <v>111</v>
      </c>
      <c r="L7" s="28" t="s">
        <v>93</v>
      </c>
    </row>
    <row r="8" spans="1:12" ht="21.75" customHeight="1" x14ac:dyDescent="0.3">
      <c r="A8" s="22">
        <v>3</v>
      </c>
      <c r="B8" s="22" t="s">
        <v>112</v>
      </c>
      <c r="C8" s="23" t="s">
        <v>113</v>
      </c>
      <c r="D8" s="24" t="s">
        <v>114</v>
      </c>
      <c r="E8" s="24" t="s">
        <v>115</v>
      </c>
      <c r="F8" s="25">
        <v>3</v>
      </c>
      <c r="G8" s="25">
        <v>3</v>
      </c>
      <c r="H8" s="25">
        <v>2</v>
      </c>
      <c r="I8" s="26">
        <f t="shared" si="0"/>
        <v>8</v>
      </c>
      <c r="J8" s="27" t="str">
        <f t="shared" si="1"/>
        <v>CRITICO</v>
      </c>
      <c r="K8" s="24" t="s">
        <v>116</v>
      </c>
      <c r="L8" s="28" t="s">
        <v>93</v>
      </c>
    </row>
    <row r="9" spans="1:12" ht="21.75" customHeight="1" x14ac:dyDescent="0.3">
      <c r="A9" s="29">
        <v>4</v>
      </c>
      <c r="B9" s="29" t="s">
        <v>117</v>
      </c>
      <c r="C9" s="20" t="s">
        <v>118</v>
      </c>
      <c r="D9" s="21" t="s">
        <v>105</v>
      </c>
      <c r="E9" s="21" t="s">
        <v>119</v>
      </c>
      <c r="F9" s="25">
        <v>3</v>
      </c>
      <c r="G9" s="25">
        <v>3</v>
      </c>
      <c r="H9" s="25">
        <v>2</v>
      </c>
      <c r="I9" s="26">
        <f t="shared" si="0"/>
        <v>8</v>
      </c>
      <c r="J9" s="27" t="str">
        <f t="shared" si="1"/>
        <v>CRITICO</v>
      </c>
      <c r="K9" s="21" t="s">
        <v>120</v>
      </c>
      <c r="L9" s="28" t="s">
        <v>93</v>
      </c>
    </row>
    <row r="10" spans="1:12" ht="21.75" customHeight="1" x14ac:dyDescent="0.3">
      <c r="A10" s="22">
        <v>5</v>
      </c>
      <c r="B10" s="22" t="s">
        <v>121</v>
      </c>
      <c r="C10" s="23" t="s">
        <v>122</v>
      </c>
      <c r="D10" s="24" t="s">
        <v>105</v>
      </c>
      <c r="E10" s="24" t="s">
        <v>123</v>
      </c>
      <c r="F10" s="25">
        <v>3</v>
      </c>
      <c r="G10" s="25">
        <v>3</v>
      </c>
      <c r="H10" s="25">
        <v>2</v>
      </c>
      <c r="I10" s="26">
        <f t="shared" si="0"/>
        <v>8</v>
      </c>
      <c r="J10" s="27" t="str">
        <f t="shared" si="1"/>
        <v>CRITICO</v>
      </c>
      <c r="K10" s="24" t="s">
        <v>124</v>
      </c>
      <c r="L10" s="28" t="s">
        <v>93</v>
      </c>
    </row>
    <row r="11" spans="1:12" ht="21.75" customHeight="1" x14ac:dyDescent="0.3">
      <c r="A11" s="29">
        <v>6</v>
      </c>
      <c r="B11" s="29" t="s">
        <v>125</v>
      </c>
      <c r="C11" s="20" t="s">
        <v>126</v>
      </c>
      <c r="D11" s="21" t="s">
        <v>127</v>
      </c>
      <c r="E11" s="21" t="s">
        <v>115</v>
      </c>
      <c r="F11" s="25">
        <v>2</v>
      </c>
      <c r="G11" s="25">
        <v>3</v>
      </c>
      <c r="H11" s="25">
        <v>3</v>
      </c>
      <c r="I11" s="26">
        <f t="shared" si="0"/>
        <v>8</v>
      </c>
      <c r="J11" s="27" t="str">
        <f t="shared" si="1"/>
        <v>CRITICO</v>
      </c>
      <c r="K11" s="21" t="s">
        <v>128</v>
      </c>
      <c r="L11" s="28" t="s">
        <v>93</v>
      </c>
    </row>
    <row r="12" spans="1:12" ht="21.75" customHeight="1" x14ac:dyDescent="0.3">
      <c r="A12" s="22">
        <v>7</v>
      </c>
      <c r="B12" s="22" t="s">
        <v>129</v>
      </c>
      <c r="C12" s="23" t="s">
        <v>130</v>
      </c>
      <c r="D12" s="24" t="s">
        <v>127</v>
      </c>
      <c r="E12" s="24" t="s">
        <v>115</v>
      </c>
      <c r="F12" s="25">
        <v>2</v>
      </c>
      <c r="G12" s="25">
        <v>3</v>
      </c>
      <c r="H12" s="25">
        <v>3</v>
      </c>
      <c r="I12" s="26">
        <f t="shared" si="0"/>
        <v>8</v>
      </c>
      <c r="J12" s="27" t="str">
        <f t="shared" si="1"/>
        <v>CRITICO</v>
      </c>
      <c r="K12" s="24" t="s">
        <v>131</v>
      </c>
      <c r="L12" s="28" t="s">
        <v>93</v>
      </c>
    </row>
    <row r="13" spans="1:12" ht="21.75" customHeight="1" x14ac:dyDescent="0.3">
      <c r="A13" s="29">
        <v>8</v>
      </c>
      <c r="B13" s="29" t="s">
        <v>132</v>
      </c>
      <c r="C13" s="20" t="s">
        <v>133</v>
      </c>
      <c r="D13" s="21" t="s">
        <v>127</v>
      </c>
      <c r="E13" s="21" t="s">
        <v>134</v>
      </c>
      <c r="F13" s="25">
        <v>2</v>
      </c>
      <c r="G13" s="25">
        <v>2</v>
      </c>
      <c r="H13" s="25">
        <v>2</v>
      </c>
      <c r="I13" s="26">
        <f t="shared" si="0"/>
        <v>6</v>
      </c>
      <c r="J13" s="27" t="str">
        <f t="shared" si="1"/>
        <v>IMPORTANTE</v>
      </c>
      <c r="K13" s="21" t="s">
        <v>135</v>
      </c>
      <c r="L13" s="28" t="s">
        <v>93</v>
      </c>
    </row>
    <row r="14" spans="1:12" ht="21.75" customHeight="1" x14ac:dyDescent="0.3">
      <c r="A14" s="22">
        <v>9</v>
      </c>
      <c r="B14" s="22" t="s">
        <v>136</v>
      </c>
      <c r="C14" s="23" t="s">
        <v>137</v>
      </c>
      <c r="D14" s="24" t="s">
        <v>127</v>
      </c>
      <c r="E14" s="24" t="s">
        <v>138</v>
      </c>
      <c r="F14" s="25">
        <v>2</v>
      </c>
      <c r="G14" s="25">
        <v>2</v>
      </c>
      <c r="H14" s="25">
        <v>2</v>
      </c>
      <c r="I14" s="26">
        <f t="shared" si="0"/>
        <v>6</v>
      </c>
      <c r="J14" s="27" t="str">
        <f t="shared" si="1"/>
        <v>IMPORTANTE</v>
      </c>
      <c r="K14" s="24" t="s">
        <v>135</v>
      </c>
      <c r="L14" s="28" t="s">
        <v>93</v>
      </c>
    </row>
    <row r="15" spans="1:12" ht="21.75" customHeight="1" x14ac:dyDescent="0.3">
      <c r="A15" s="29">
        <v>10</v>
      </c>
      <c r="B15" s="29" t="s">
        <v>139</v>
      </c>
      <c r="C15" s="20" t="s">
        <v>140</v>
      </c>
      <c r="D15" s="21" t="s">
        <v>141</v>
      </c>
      <c r="E15" s="21" t="s">
        <v>115</v>
      </c>
      <c r="F15" s="25">
        <v>3</v>
      </c>
      <c r="G15" s="25">
        <v>2</v>
      </c>
      <c r="H15" s="25">
        <v>3</v>
      </c>
      <c r="I15" s="26">
        <f t="shared" si="0"/>
        <v>8</v>
      </c>
      <c r="J15" s="27" t="str">
        <f t="shared" si="1"/>
        <v>CRITICO</v>
      </c>
      <c r="K15" s="21" t="s">
        <v>142</v>
      </c>
      <c r="L15" s="28" t="s">
        <v>93</v>
      </c>
    </row>
    <row r="16" spans="1:12" ht="21.75" customHeight="1" x14ac:dyDescent="0.3">
      <c r="A16" s="22">
        <v>11</v>
      </c>
      <c r="B16" s="22" t="s">
        <v>143</v>
      </c>
      <c r="C16" s="23" t="s">
        <v>144</v>
      </c>
      <c r="D16" s="24" t="s">
        <v>145</v>
      </c>
      <c r="E16" s="24" t="s">
        <v>146</v>
      </c>
      <c r="F16" s="25">
        <v>3</v>
      </c>
      <c r="G16" s="25">
        <v>2</v>
      </c>
      <c r="H16" s="25">
        <v>2</v>
      </c>
      <c r="I16" s="26">
        <f t="shared" si="0"/>
        <v>7</v>
      </c>
      <c r="J16" s="27" t="str">
        <f t="shared" si="1"/>
        <v>IMPORTANTE</v>
      </c>
      <c r="K16" s="24" t="s">
        <v>147</v>
      </c>
      <c r="L16" s="28" t="s">
        <v>93</v>
      </c>
    </row>
    <row r="17" spans="1:12" ht="21.75" customHeight="1" x14ac:dyDescent="0.3">
      <c r="A17" s="29">
        <v>12</v>
      </c>
      <c r="B17" s="29" t="s">
        <v>148</v>
      </c>
      <c r="C17" s="20" t="s">
        <v>149</v>
      </c>
      <c r="D17" s="21" t="s">
        <v>145</v>
      </c>
      <c r="E17" s="21" t="s">
        <v>115</v>
      </c>
      <c r="F17" s="25">
        <v>3</v>
      </c>
      <c r="G17" s="25">
        <v>3</v>
      </c>
      <c r="H17" s="25">
        <v>3</v>
      </c>
      <c r="I17" s="26">
        <f t="shared" si="0"/>
        <v>9</v>
      </c>
      <c r="J17" s="27" t="str">
        <f t="shared" si="1"/>
        <v>CRITICO</v>
      </c>
      <c r="K17" s="21" t="s">
        <v>150</v>
      </c>
      <c r="L17" s="28" t="s">
        <v>93</v>
      </c>
    </row>
    <row r="18" spans="1:12" ht="21.75" customHeight="1" x14ac:dyDescent="0.3">
      <c r="A18" s="22">
        <v>13</v>
      </c>
      <c r="B18" s="22" t="s">
        <v>151</v>
      </c>
      <c r="C18" s="23" t="s">
        <v>152</v>
      </c>
      <c r="D18" s="24" t="s">
        <v>145</v>
      </c>
      <c r="E18" s="24" t="s">
        <v>153</v>
      </c>
      <c r="F18" s="25">
        <v>2</v>
      </c>
      <c r="G18" s="25">
        <v>2</v>
      </c>
      <c r="H18" s="25">
        <v>3</v>
      </c>
      <c r="I18" s="26">
        <f t="shared" si="0"/>
        <v>7</v>
      </c>
      <c r="J18" s="27" t="str">
        <f t="shared" si="1"/>
        <v>IMPORTANTE</v>
      </c>
      <c r="K18" s="24" t="s">
        <v>154</v>
      </c>
      <c r="L18" s="28" t="s">
        <v>93</v>
      </c>
    </row>
    <row r="19" spans="1:12" ht="21.75" customHeight="1" x14ac:dyDescent="0.3">
      <c r="A19" s="29">
        <v>14</v>
      </c>
      <c r="B19" s="29" t="s">
        <v>155</v>
      </c>
      <c r="C19" s="20" t="s">
        <v>156</v>
      </c>
      <c r="D19" s="21" t="s">
        <v>157</v>
      </c>
      <c r="E19" s="21" t="s">
        <v>115</v>
      </c>
      <c r="F19" s="25">
        <v>3</v>
      </c>
      <c r="G19" s="25">
        <v>3</v>
      </c>
      <c r="H19" s="25">
        <v>3</v>
      </c>
      <c r="I19" s="26">
        <f t="shared" si="0"/>
        <v>9</v>
      </c>
      <c r="J19" s="27" t="str">
        <f t="shared" si="1"/>
        <v>CRITICO</v>
      </c>
      <c r="K19" s="21" t="s">
        <v>158</v>
      </c>
      <c r="L19" s="28" t="s">
        <v>93</v>
      </c>
    </row>
    <row r="20" spans="1:12" ht="21.75" customHeight="1" x14ac:dyDescent="0.3">
      <c r="A20" s="22">
        <v>15</v>
      </c>
      <c r="B20" s="22" t="s">
        <v>159</v>
      </c>
      <c r="C20" s="23" t="s">
        <v>160</v>
      </c>
      <c r="D20" s="24" t="s">
        <v>157</v>
      </c>
      <c r="E20" s="24" t="s">
        <v>115</v>
      </c>
      <c r="F20" s="25">
        <v>3</v>
      </c>
      <c r="G20" s="25">
        <v>2</v>
      </c>
      <c r="H20" s="25">
        <v>3</v>
      </c>
      <c r="I20" s="26">
        <f t="shared" si="0"/>
        <v>8</v>
      </c>
      <c r="J20" s="27" t="str">
        <f t="shared" si="1"/>
        <v>CRITICO</v>
      </c>
      <c r="K20" s="24" t="s">
        <v>161</v>
      </c>
      <c r="L20" s="28" t="s">
        <v>93</v>
      </c>
    </row>
    <row r="21" spans="1:12" ht="21.75" customHeight="1" x14ac:dyDescent="0.3">
      <c r="A21" s="29">
        <v>16</v>
      </c>
      <c r="B21" s="29" t="s">
        <v>162</v>
      </c>
      <c r="C21" s="20" t="s">
        <v>163</v>
      </c>
      <c r="D21" s="21" t="s">
        <v>157</v>
      </c>
      <c r="E21" s="21" t="s">
        <v>115</v>
      </c>
      <c r="F21" s="25">
        <v>3</v>
      </c>
      <c r="G21" s="25">
        <v>3</v>
      </c>
      <c r="H21" s="25">
        <v>3</v>
      </c>
      <c r="I21" s="26">
        <f t="shared" si="0"/>
        <v>9</v>
      </c>
      <c r="J21" s="27" t="str">
        <f t="shared" si="1"/>
        <v>CRITICO</v>
      </c>
      <c r="K21" s="21" t="s">
        <v>164</v>
      </c>
      <c r="L21" s="28" t="s">
        <v>93</v>
      </c>
    </row>
    <row r="22" spans="1:12" ht="21.75" customHeight="1" x14ac:dyDescent="0.3">
      <c r="A22" s="22">
        <v>17</v>
      </c>
      <c r="B22" s="22" t="s">
        <v>165</v>
      </c>
      <c r="C22" s="23" t="s">
        <v>166</v>
      </c>
      <c r="D22" s="24" t="s">
        <v>157</v>
      </c>
      <c r="E22" s="24" t="s">
        <v>115</v>
      </c>
      <c r="F22" s="25">
        <v>3</v>
      </c>
      <c r="G22" s="25">
        <v>2</v>
      </c>
      <c r="H22" s="25">
        <v>2</v>
      </c>
      <c r="I22" s="26">
        <f t="shared" si="0"/>
        <v>7</v>
      </c>
      <c r="J22" s="27" t="str">
        <f t="shared" si="1"/>
        <v>IMPORTANTE</v>
      </c>
      <c r="K22" s="24" t="s">
        <v>167</v>
      </c>
      <c r="L22" s="28" t="s">
        <v>93</v>
      </c>
    </row>
    <row r="23" spans="1:12" ht="21.75" customHeight="1" x14ac:dyDescent="0.3">
      <c r="A23" s="29">
        <v>18</v>
      </c>
      <c r="B23" s="29" t="s">
        <v>168</v>
      </c>
      <c r="C23" s="20" t="s">
        <v>169</v>
      </c>
      <c r="D23" s="21" t="s">
        <v>170</v>
      </c>
      <c r="E23" s="21" t="s">
        <v>171</v>
      </c>
      <c r="F23" s="25">
        <v>3</v>
      </c>
      <c r="G23" s="25">
        <v>3</v>
      </c>
      <c r="H23" s="25">
        <v>3</v>
      </c>
      <c r="I23" s="26">
        <f t="shared" si="0"/>
        <v>9</v>
      </c>
      <c r="J23" s="27" t="str">
        <f t="shared" si="1"/>
        <v>CRITICO</v>
      </c>
      <c r="K23" s="21" t="s">
        <v>172</v>
      </c>
      <c r="L23" s="28" t="s">
        <v>93</v>
      </c>
    </row>
    <row r="24" spans="1:12" ht="21.75" customHeight="1" x14ac:dyDescent="0.3">
      <c r="A24" s="22">
        <v>19</v>
      </c>
      <c r="B24" s="22" t="s">
        <v>173</v>
      </c>
      <c r="C24" s="23" t="s">
        <v>174</v>
      </c>
      <c r="D24" s="24" t="s">
        <v>170</v>
      </c>
      <c r="E24" s="24" t="s">
        <v>175</v>
      </c>
      <c r="F24" s="25">
        <v>3</v>
      </c>
      <c r="G24" s="25">
        <v>3</v>
      </c>
      <c r="H24" s="25">
        <v>3</v>
      </c>
      <c r="I24" s="26">
        <f t="shared" si="0"/>
        <v>9</v>
      </c>
      <c r="J24" s="27" t="str">
        <f t="shared" si="1"/>
        <v>CRITICO</v>
      </c>
      <c r="K24" s="24" t="s">
        <v>172</v>
      </c>
      <c r="L24" s="28" t="s">
        <v>93</v>
      </c>
    </row>
    <row r="25" spans="1:12" ht="21.75" customHeight="1" x14ac:dyDescent="0.3">
      <c r="A25" s="29">
        <v>20</v>
      </c>
      <c r="B25" s="29" t="s">
        <v>176</v>
      </c>
      <c r="C25" s="20" t="s">
        <v>177</v>
      </c>
      <c r="D25" s="21" t="s">
        <v>170</v>
      </c>
      <c r="E25" s="21" t="s">
        <v>178</v>
      </c>
      <c r="F25" s="25">
        <v>3</v>
      </c>
      <c r="G25" s="25">
        <v>3</v>
      </c>
      <c r="H25" s="25">
        <v>2</v>
      </c>
      <c r="I25" s="26">
        <f t="shared" si="0"/>
        <v>8</v>
      </c>
      <c r="J25" s="27" t="str">
        <f t="shared" si="1"/>
        <v>CRITICO</v>
      </c>
      <c r="K25" s="21" t="s">
        <v>172</v>
      </c>
      <c r="L25" s="28" t="s">
        <v>93</v>
      </c>
    </row>
    <row r="26" spans="1:12" ht="24" customHeight="1" x14ac:dyDescent="0.3">
      <c r="B26" s="10" t="s">
        <v>179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</sheetData>
  <mergeCells count="3">
    <mergeCell ref="A1:L1"/>
    <mergeCell ref="A2:L2"/>
    <mergeCell ref="B26:L26"/>
  </mergeCells>
  <conditionalFormatting sqref="I6:I25">
    <cfRule type="cellIs" dxfId="35" priority="2" operator="greaterThanOrEqual">
      <formula>8</formula>
    </cfRule>
    <cfRule type="cellIs" dxfId="34" priority="3" operator="between">
      <formula>6</formula>
      <formula>7</formula>
    </cfRule>
    <cfRule type="cellIs" dxfId="33" priority="4" operator="lessThanOrEqual">
      <formula>5</formula>
    </cfRule>
  </conditionalFormatting>
  <conditionalFormatting sqref="J6:J25">
    <cfRule type="expression" dxfId="32" priority="5">
      <formula>J6="CRITICO"</formula>
    </cfRule>
    <cfRule type="expression" dxfId="31" priority="6">
      <formula>J6="IMPORTANTE"</formula>
    </cfRule>
    <cfRule type="expression" dxfId="30" priority="7">
      <formula>J6="NORMAL"</formula>
    </cfRule>
  </conditionalFormatting>
  <dataValidations count="1">
    <dataValidation type="list" allowBlank="1" sqref="L6:L25" xr:uid="{00000000-0002-0000-0200-000000000000}">
      <formula1>"Activo,Dado de baja,En revisión"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7" sqref="F7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24" customWidth="1"/>
    <col min="4" max="5" width="35" customWidth="1"/>
    <col min="6" max="6" width="12" customWidth="1"/>
  </cols>
  <sheetData>
    <row r="1" spans="1:6" ht="37.5" customHeight="1" x14ac:dyDescent="0.3">
      <c r="A1" s="14" t="s">
        <v>180</v>
      </c>
      <c r="B1" s="14"/>
      <c r="C1" s="14"/>
      <c r="D1" s="14"/>
      <c r="E1" s="14"/>
      <c r="F1" s="14"/>
    </row>
    <row r="2" spans="1:6" ht="21.75" customHeight="1" x14ac:dyDescent="0.3">
      <c r="A2" s="13" t="s">
        <v>181</v>
      </c>
      <c r="B2" s="13"/>
      <c r="C2" s="13"/>
      <c r="D2" s="13"/>
      <c r="E2" s="13"/>
      <c r="F2" s="13"/>
    </row>
    <row r="3" spans="1:6" ht="18" customHeight="1" x14ac:dyDescent="0.3">
      <c r="A3" s="15" t="s">
        <v>182</v>
      </c>
    </row>
    <row r="5" spans="1:6" ht="27.75" customHeight="1" x14ac:dyDescent="0.3">
      <c r="A5" s="16" t="s">
        <v>91</v>
      </c>
      <c r="B5" s="16" t="s">
        <v>92</v>
      </c>
      <c r="C5" s="16" t="s">
        <v>183</v>
      </c>
      <c r="D5" s="16" t="s">
        <v>184</v>
      </c>
      <c r="E5" s="16" t="s">
        <v>185</v>
      </c>
      <c r="F5" s="16" t="s">
        <v>186</v>
      </c>
    </row>
    <row r="6" spans="1:6" ht="37.5" customHeight="1" x14ac:dyDescent="0.3">
      <c r="A6" s="30">
        <v>1</v>
      </c>
      <c r="B6" s="30" t="s">
        <v>187</v>
      </c>
      <c r="C6" s="17" t="s">
        <v>104</v>
      </c>
      <c r="D6" s="18" t="s">
        <v>188</v>
      </c>
      <c r="E6" s="18" t="s">
        <v>189</v>
      </c>
      <c r="F6" s="31" t="s">
        <v>172</v>
      </c>
    </row>
    <row r="7" spans="1:6" ht="37.5" customHeight="1" x14ac:dyDescent="0.3">
      <c r="A7" s="29">
        <v>2</v>
      </c>
      <c r="B7" s="29" t="s">
        <v>191</v>
      </c>
      <c r="C7" s="20" t="s">
        <v>192</v>
      </c>
      <c r="D7" s="21" t="s">
        <v>193</v>
      </c>
      <c r="E7" s="21" t="s">
        <v>194</v>
      </c>
      <c r="F7" s="31" t="s">
        <v>190</v>
      </c>
    </row>
    <row r="8" spans="1:6" ht="37.5" customHeight="1" x14ac:dyDescent="0.3">
      <c r="A8" s="30">
        <v>3</v>
      </c>
      <c r="B8" s="30" t="s">
        <v>195</v>
      </c>
      <c r="C8" s="17" t="s">
        <v>196</v>
      </c>
      <c r="D8" s="18" t="s">
        <v>197</v>
      </c>
      <c r="E8" s="18" t="s">
        <v>198</v>
      </c>
      <c r="F8" s="31" t="s">
        <v>190</v>
      </c>
    </row>
    <row r="9" spans="1:6" ht="37.5" customHeight="1" x14ac:dyDescent="0.3">
      <c r="A9" s="29">
        <v>4</v>
      </c>
      <c r="B9" s="29" t="s">
        <v>199</v>
      </c>
      <c r="C9" s="20" t="s">
        <v>126</v>
      </c>
      <c r="D9" s="21" t="s">
        <v>200</v>
      </c>
      <c r="E9" s="21" t="s">
        <v>201</v>
      </c>
      <c r="F9" s="31" t="s">
        <v>190</v>
      </c>
    </row>
    <row r="10" spans="1:6" ht="37.5" customHeight="1" x14ac:dyDescent="0.3">
      <c r="A10" s="30">
        <v>5</v>
      </c>
      <c r="B10" s="30" t="s">
        <v>202</v>
      </c>
      <c r="C10" s="17" t="s">
        <v>203</v>
      </c>
      <c r="D10" s="18" t="s">
        <v>204</v>
      </c>
      <c r="E10" s="18" t="s">
        <v>205</v>
      </c>
      <c r="F10" s="31" t="s">
        <v>206</v>
      </c>
    </row>
    <row r="11" spans="1:6" ht="37.5" customHeight="1" x14ac:dyDescent="0.3">
      <c r="A11" s="29">
        <v>6</v>
      </c>
      <c r="B11" s="29" t="s">
        <v>207</v>
      </c>
      <c r="C11" s="20" t="s">
        <v>208</v>
      </c>
      <c r="D11" s="21" t="s">
        <v>209</v>
      </c>
      <c r="E11" s="21" t="s">
        <v>210</v>
      </c>
      <c r="F11" s="31" t="s">
        <v>190</v>
      </c>
    </row>
    <row r="12" spans="1:6" ht="37.5" customHeight="1" x14ac:dyDescent="0.3">
      <c r="A12" s="30">
        <v>7</v>
      </c>
      <c r="B12" s="30" t="s">
        <v>211</v>
      </c>
      <c r="C12" s="17" t="s">
        <v>160</v>
      </c>
      <c r="D12" s="18" t="s">
        <v>212</v>
      </c>
      <c r="E12" s="18" t="s">
        <v>213</v>
      </c>
      <c r="F12" s="31" t="s">
        <v>190</v>
      </c>
    </row>
    <row r="13" spans="1:6" ht="37.5" customHeight="1" x14ac:dyDescent="0.3">
      <c r="A13" s="29">
        <v>8</v>
      </c>
      <c r="B13" s="29" t="s">
        <v>214</v>
      </c>
      <c r="C13" s="20" t="s">
        <v>122</v>
      </c>
      <c r="D13" s="21" t="s">
        <v>215</v>
      </c>
      <c r="E13" s="21" t="s">
        <v>216</v>
      </c>
      <c r="F13" s="31" t="s">
        <v>172</v>
      </c>
    </row>
    <row r="14" spans="1:6" ht="37.5" customHeight="1" x14ac:dyDescent="0.3">
      <c r="A14" s="30">
        <v>9</v>
      </c>
      <c r="B14" s="30" t="s">
        <v>217</v>
      </c>
      <c r="C14" s="17" t="s">
        <v>218</v>
      </c>
      <c r="D14" s="18" t="s">
        <v>219</v>
      </c>
      <c r="E14" s="18" t="s">
        <v>220</v>
      </c>
      <c r="F14" s="31" t="s">
        <v>172</v>
      </c>
    </row>
    <row r="15" spans="1:6" ht="37.5" customHeight="1" x14ac:dyDescent="0.3">
      <c r="A15" s="29">
        <v>10</v>
      </c>
      <c r="B15" s="29" t="s">
        <v>221</v>
      </c>
      <c r="C15" s="20" t="s">
        <v>144</v>
      </c>
      <c r="D15" s="21" t="s">
        <v>222</v>
      </c>
      <c r="E15" s="21" t="s">
        <v>223</v>
      </c>
      <c r="F15" s="31" t="s">
        <v>190</v>
      </c>
    </row>
    <row r="16" spans="1:6" ht="37.5" customHeight="1" x14ac:dyDescent="0.3">
      <c r="A16" s="30">
        <v>11</v>
      </c>
      <c r="B16" s="30" t="s">
        <v>224</v>
      </c>
      <c r="C16" s="17" t="s">
        <v>225</v>
      </c>
      <c r="D16" s="18" t="s">
        <v>226</v>
      </c>
      <c r="E16" s="18" t="s">
        <v>227</v>
      </c>
      <c r="F16" s="31" t="s">
        <v>228</v>
      </c>
    </row>
    <row r="17" spans="1:6" ht="37.5" customHeight="1" x14ac:dyDescent="0.3">
      <c r="A17" s="29">
        <v>12</v>
      </c>
      <c r="B17" s="29" t="s">
        <v>229</v>
      </c>
      <c r="C17" s="20" t="s">
        <v>109</v>
      </c>
      <c r="D17" s="21" t="s">
        <v>230</v>
      </c>
      <c r="E17" s="21" t="s">
        <v>231</v>
      </c>
      <c r="F17" s="31" t="s">
        <v>172</v>
      </c>
    </row>
  </sheetData>
  <mergeCells count="2">
    <mergeCell ref="A1:F1"/>
    <mergeCell ref="A2:F2"/>
  </mergeCells>
  <dataValidations count="1">
    <dataValidation type="list" allowBlank="1" sqref="F6:F17" xr:uid="{00000000-0002-0000-0300-000000000000}">
      <formula1>"Externo,Interno,Ambiental,Interno/Externo"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7" sqref="H7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28" customWidth="1"/>
    <col min="4" max="4" width="22" customWidth="1"/>
    <col min="5" max="7" width="10" customWidth="1"/>
    <col min="8" max="9" width="14" customWidth="1"/>
  </cols>
  <sheetData>
    <row r="1" spans="1:9" ht="37.5" customHeight="1" x14ac:dyDescent="0.3">
      <c r="A1" s="14" t="s">
        <v>232</v>
      </c>
      <c r="B1" s="14"/>
      <c r="C1" s="14"/>
      <c r="D1" s="14"/>
      <c r="E1" s="14"/>
      <c r="F1" s="14"/>
      <c r="G1" s="14"/>
      <c r="H1" s="14"/>
      <c r="I1" s="14"/>
    </row>
    <row r="2" spans="1:9" ht="21.75" customHeight="1" x14ac:dyDescent="0.3">
      <c r="A2" s="13" t="s">
        <v>233</v>
      </c>
      <c r="B2" s="13"/>
      <c r="C2" s="13"/>
      <c r="D2" s="13"/>
      <c r="E2" s="13"/>
      <c r="F2" s="13"/>
      <c r="G2" s="13"/>
      <c r="H2" s="13"/>
      <c r="I2" s="13"/>
    </row>
    <row r="3" spans="1:9" ht="18" customHeight="1" x14ac:dyDescent="0.3">
      <c r="A3" s="15" t="s">
        <v>234</v>
      </c>
    </row>
    <row r="5" spans="1:9" ht="37.5" customHeight="1" x14ac:dyDescent="0.3">
      <c r="A5" s="16" t="s">
        <v>91</v>
      </c>
      <c r="B5" s="16" t="s">
        <v>92</v>
      </c>
      <c r="C5" s="16" t="s">
        <v>235</v>
      </c>
      <c r="D5" s="16" t="s">
        <v>236</v>
      </c>
      <c r="E5" s="16" t="s">
        <v>237</v>
      </c>
      <c r="F5" s="16" t="s">
        <v>238</v>
      </c>
      <c r="G5" s="16" t="s">
        <v>239</v>
      </c>
      <c r="H5" s="16" t="s">
        <v>240</v>
      </c>
      <c r="I5" s="16" t="s">
        <v>241</v>
      </c>
    </row>
    <row r="6" spans="1:9" ht="30" customHeight="1" x14ac:dyDescent="0.3">
      <c r="A6" s="22">
        <v>1</v>
      </c>
      <c r="B6" s="22" t="s">
        <v>187</v>
      </c>
      <c r="C6" s="23" t="s">
        <v>242</v>
      </c>
      <c r="D6" s="24" t="s">
        <v>243</v>
      </c>
      <c r="E6" s="32">
        <v>2</v>
      </c>
      <c r="F6" s="32">
        <v>5</v>
      </c>
      <c r="G6" s="33">
        <f t="shared" ref="G6:G17" si="0">E6*F6</f>
        <v>10</v>
      </c>
      <c r="H6" s="27" t="str">
        <f t="shared" ref="H6:H17" si="1">IF(G6&gt;=16,"CRITICO",IF(G6&gt;=11,"ALTO",IF(G6&gt;=6,"MEDIO","BAJO")))</f>
        <v>MEDIO</v>
      </c>
      <c r="I6" s="34" t="str">
        <f t="shared" ref="I6:I17" si="2">IF(G6&gt;=16,"MITIGAR / EVITAR",IF(G6&gt;=11,"MITIGAR",IF(G6&gt;=6,"MITIGAR / TRANSFERIR","ACEPTAR")))</f>
        <v>MITIGAR / TRANSFERIR</v>
      </c>
    </row>
    <row r="7" spans="1:9" ht="30" customHeight="1" x14ac:dyDescent="0.3">
      <c r="A7" s="29">
        <v>2</v>
      </c>
      <c r="B7" s="29" t="s">
        <v>191</v>
      </c>
      <c r="C7" s="20" t="s">
        <v>244</v>
      </c>
      <c r="D7" s="21" t="s">
        <v>245</v>
      </c>
      <c r="E7" s="32">
        <v>4</v>
      </c>
      <c r="F7" s="32">
        <v>5</v>
      </c>
      <c r="G7" s="33">
        <f t="shared" si="0"/>
        <v>20</v>
      </c>
      <c r="H7" s="27" t="str">
        <f t="shared" si="1"/>
        <v>CRITICO</v>
      </c>
      <c r="I7" s="34" t="str">
        <f t="shared" si="2"/>
        <v>MITIGAR / EVITAR</v>
      </c>
    </row>
    <row r="8" spans="1:9" ht="30" customHeight="1" x14ac:dyDescent="0.3">
      <c r="A8" s="22">
        <v>3</v>
      </c>
      <c r="B8" s="22" t="s">
        <v>195</v>
      </c>
      <c r="C8" s="23" t="s">
        <v>246</v>
      </c>
      <c r="D8" s="24" t="s">
        <v>247</v>
      </c>
      <c r="E8" s="32">
        <v>4</v>
      </c>
      <c r="F8" s="32">
        <v>4</v>
      </c>
      <c r="G8" s="33">
        <f t="shared" si="0"/>
        <v>16</v>
      </c>
      <c r="H8" s="27" t="str">
        <f t="shared" si="1"/>
        <v>CRITICO</v>
      </c>
      <c r="I8" s="34" t="str">
        <f t="shared" si="2"/>
        <v>MITIGAR / EVITAR</v>
      </c>
    </row>
    <row r="9" spans="1:9" ht="30" customHeight="1" x14ac:dyDescent="0.3">
      <c r="A9" s="29">
        <v>4</v>
      </c>
      <c r="B9" s="29" t="s">
        <v>199</v>
      </c>
      <c r="C9" s="20" t="s">
        <v>248</v>
      </c>
      <c r="D9" s="21" t="s">
        <v>249</v>
      </c>
      <c r="E9" s="32">
        <v>3</v>
      </c>
      <c r="F9" s="32">
        <v>4</v>
      </c>
      <c r="G9" s="33">
        <f t="shared" si="0"/>
        <v>12</v>
      </c>
      <c r="H9" s="27" t="str">
        <f t="shared" si="1"/>
        <v>ALTO</v>
      </c>
      <c r="I9" s="34" t="str">
        <f t="shared" si="2"/>
        <v>MITIGAR</v>
      </c>
    </row>
    <row r="10" spans="1:9" ht="30" customHeight="1" x14ac:dyDescent="0.3">
      <c r="A10" s="22">
        <v>5</v>
      </c>
      <c r="B10" s="22" t="s">
        <v>202</v>
      </c>
      <c r="C10" s="23" t="s">
        <v>250</v>
      </c>
      <c r="D10" s="24" t="s">
        <v>251</v>
      </c>
      <c r="E10" s="32">
        <v>2</v>
      </c>
      <c r="F10" s="32">
        <v>4</v>
      </c>
      <c r="G10" s="33">
        <f t="shared" si="0"/>
        <v>8</v>
      </c>
      <c r="H10" s="27" t="str">
        <f t="shared" si="1"/>
        <v>MEDIO</v>
      </c>
      <c r="I10" s="34" t="str">
        <f t="shared" si="2"/>
        <v>MITIGAR / TRANSFERIR</v>
      </c>
    </row>
    <row r="11" spans="1:9" ht="30" customHeight="1" x14ac:dyDescent="0.3">
      <c r="A11" s="29">
        <v>6</v>
      </c>
      <c r="B11" s="29" t="s">
        <v>207</v>
      </c>
      <c r="C11" s="20" t="s">
        <v>252</v>
      </c>
      <c r="D11" s="21" t="s">
        <v>253</v>
      </c>
      <c r="E11" s="32">
        <v>3</v>
      </c>
      <c r="F11" s="32">
        <v>4</v>
      </c>
      <c r="G11" s="33">
        <f t="shared" si="0"/>
        <v>12</v>
      </c>
      <c r="H11" s="27" t="str">
        <f t="shared" si="1"/>
        <v>ALTO</v>
      </c>
      <c r="I11" s="34" t="str">
        <f t="shared" si="2"/>
        <v>MITIGAR</v>
      </c>
    </row>
    <row r="12" spans="1:9" ht="30" customHeight="1" x14ac:dyDescent="0.3">
      <c r="A12" s="22">
        <v>7</v>
      </c>
      <c r="B12" s="22" t="s">
        <v>211</v>
      </c>
      <c r="C12" s="23" t="s">
        <v>254</v>
      </c>
      <c r="D12" s="24" t="s">
        <v>255</v>
      </c>
      <c r="E12" s="32">
        <v>3</v>
      </c>
      <c r="F12" s="32">
        <v>3</v>
      </c>
      <c r="G12" s="33">
        <f t="shared" si="0"/>
        <v>9</v>
      </c>
      <c r="H12" s="27" t="str">
        <f t="shared" si="1"/>
        <v>MEDIO</v>
      </c>
      <c r="I12" s="34" t="str">
        <f t="shared" si="2"/>
        <v>MITIGAR / TRANSFERIR</v>
      </c>
    </row>
    <row r="13" spans="1:9" ht="30" customHeight="1" x14ac:dyDescent="0.3">
      <c r="A13" s="29">
        <v>8</v>
      </c>
      <c r="B13" s="29" t="s">
        <v>214</v>
      </c>
      <c r="C13" s="20" t="s">
        <v>256</v>
      </c>
      <c r="D13" s="21" t="s">
        <v>257</v>
      </c>
      <c r="E13" s="32">
        <v>2</v>
      </c>
      <c r="F13" s="32">
        <v>4</v>
      </c>
      <c r="G13" s="33">
        <f t="shared" si="0"/>
        <v>8</v>
      </c>
      <c r="H13" s="27" t="str">
        <f t="shared" si="1"/>
        <v>MEDIO</v>
      </c>
      <c r="I13" s="34" t="str">
        <f t="shared" si="2"/>
        <v>MITIGAR / TRANSFERIR</v>
      </c>
    </row>
    <row r="14" spans="1:9" ht="30" customHeight="1" x14ac:dyDescent="0.3">
      <c r="A14" s="22">
        <v>9</v>
      </c>
      <c r="B14" s="22" t="s">
        <v>217</v>
      </c>
      <c r="C14" s="23" t="s">
        <v>258</v>
      </c>
      <c r="D14" s="24" t="s">
        <v>259</v>
      </c>
      <c r="E14" s="32">
        <v>3</v>
      </c>
      <c r="F14" s="32">
        <v>3</v>
      </c>
      <c r="G14" s="33">
        <f t="shared" si="0"/>
        <v>9</v>
      </c>
      <c r="H14" s="27" t="str">
        <f t="shared" si="1"/>
        <v>MEDIO</v>
      </c>
      <c r="I14" s="34" t="str">
        <f t="shared" si="2"/>
        <v>MITIGAR / TRANSFERIR</v>
      </c>
    </row>
    <row r="15" spans="1:9" ht="30" customHeight="1" x14ac:dyDescent="0.3">
      <c r="A15" s="29">
        <v>10</v>
      </c>
      <c r="B15" s="29" t="s">
        <v>221</v>
      </c>
      <c r="C15" s="20" t="s">
        <v>260</v>
      </c>
      <c r="D15" s="21" t="s">
        <v>144</v>
      </c>
      <c r="E15" s="32">
        <v>3</v>
      </c>
      <c r="F15" s="32">
        <v>3</v>
      </c>
      <c r="G15" s="33">
        <f t="shared" si="0"/>
        <v>9</v>
      </c>
      <c r="H15" s="27" t="str">
        <f t="shared" si="1"/>
        <v>MEDIO</v>
      </c>
      <c r="I15" s="34" t="str">
        <f t="shared" si="2"/>
        <v>MITIGAR / TRANSFERIR</v>
      </c>
    </row>
    <row r="16" spans="1:9" ht="30" customHeight="1" x14ac:dyDescent="0.3">
      <c r="A16" s="22">
        <v>11</v>
      </c>
      <c r="B16" s="22" t="s">
        <v>224</v>
      </c>
      <c r="C16" s="23" t="s">
        <v>261</v>
      </c>
      <c r="D16" s="24" t="s">
        <v>225</v>
      </c>
      <c r="E16" s="32">
        <v>2</v>
      </c>
      <c r="F16" s="32">
        <v>3</v>
      </c>
      <c r="G16" s="33">
        <f t="shared" si="0"/>
        <v>6</v>
      </c>
      <c r="H16" s="27" t="str">
        <f t="shared" si="1"/>
        <v>MEDIO</v>
      </c>
      <c r="I16" s="34" t="str">
        <f t="shared" si="2"/>
        <v>MITIGAR / TRANSFERIR</v>
      </c>
    </row>
    <row r="17" spans="1:9" ht="30" customHeight="1" x14ac:dyDescent="0.3">
      <c r="A17" s="29">
        <v>12</v>
      </c>
      <c r="B17" s="29" t="s">
        <v>229</v>
      </c>
      <c r="C17" s="20" t="s">
        <v>262</v>
      </c>
      <c r="D17" s="21" t="s">
        <v>263</v>
      </c>
      <c r="E17" s="32">
        <v>3</v>
      </c>
      <c r="F17" s="32">
        <v>4</v>
      </c>
      <c r="G17" s="33">
        <f t="shared" si="0"/>
        <v>12</v>
      </c>
      <c r="H17" s="27" t="str">
        <f t="shared" si="1"/>
        <v>ALTO</v>
      </c>
      <c r="I17" s="34" t="str">
        <f t="shared" si="2"/>
        <v>MITIGAR</v>
      </c>
    </row>
    <row r="20" spans="1:9" ht="19.5" customHeight="1" x14ac:dyDescent="0.3">
      <c r="B20" s="9" t="s">
        <v>264</v>
      </c>
      <c r="C20" s="9"/>
      <c r="D20" s="9"/>
      <c r="E20" s="9"/>
      <c r="F20" s="9"/>
      <c r="G20" s="9"/>
      <c r="H20" s="9"/>
      <c r="I20" s="9"/>
    </row>
    <row r="21" spans="1:9" ht="21.75" customHeight="1" x14ac:dyDescent="0.3">
      <c r="B21" s="35" t="s">
        <v>265</v>
      </c>
      <c r="C21" s="16" t="s">
        <v>266</v>
      </c>
      <c r="D21" s="16" t="s">
        <v>267</v>
      </c>
      <c r="E21" s="16" t="s">
        <v>268</v>
      </c>
      <c r="F21" s="16" t="s">
        <v>269</v>
      </c>
      <c r="G21" s="16" t="s">
        <v>270</v>
      </c>
    </row>
    <row r="22" spans="1:9" ht="21.75" customHeight="1" x14ac:dyDescent="0.3">
      <c r="B22" s="16" t="s">
        <v>271</v>
      </c>
      <c r="C22" s="36">
        <v>5</v>
      </c>
      <c r="D22" s="37">
        <v>10</v>
      </c>
      <c r="E22" s="38">
        <v>15</v>
      </c>
      <c r="F22" s="39">
        <v>20</v>
      </c>
      <c r="G22" s="39">
        <v>25</v>
      </c>
    </row>
    <row r="23" spans="1:9" ht="21.75" customHeight="1" x14ac:dyDescent="0.3">
      <c r="B23" s="16" t="s">
        <v>272</v>
      </c>
      <c r="C23" s="36">
        <v>4</v>
      </c>
      <c r="D23" s="37">
        <v>8</v>
      </c>
      <c r="E23" s="38">
        <v>12</v>
      </c>
      <c r="F23" s="39">
        <v>16</v>
      </c>
      <c r="G23" s="39">
        <v>20</v>
      </c>
    </row>
    <row r="24" spans="1:9" ht="21.75" customHeight="1" x14ac:dyDescent="0.3">
      <c r="B24" s="16" t="s">
        <v>273</v>
      </c>
      <c r="C24" s="36">
        <v>3</v>
      </c>
      <c r="D24" s="37">
        <v>6</v>
      </c>
      <c r="E24" s="37">
        <v>9</v>
      </c>
      <c r="F24" s="38">
        <v>12</v>
      </c>
      <c r="G24" s="38">
        <v>15</v>
      </c>
    </row>
    <row r="25" spans="1:9" ht="21.75" customHeight="1" x14ac:dyDescent="0.3">
      <c r="B25" s="16" t="s">
        <v>274</v>
      </c>
      <c r="C25" s="36">
        <v>2</v>
      </c>
      <c r="D25" s="36">
        <v>4</v>
      </c>
      <c r="E25" s="37">
        <v>6</v>
      </c>
      <c r="F25" s="37">
        <v>8</v>
      </c>
      <c r="G25" s="37">
        <v>10</v>
      </c>
    </row>
    <row r="26" spans="1:9" ht="21.75" customHeight="1" x14ac:dyDescent="0.3">
      <c r="B26" s="16" t="s">
        <v>275</v>
      </c>
      <c r="C26" s="36">
        <v>1</v>
      </c>
      <c r="D26" s="36">
        <v>2</v>
      </c>
      <c r="E26" s="36">
        <v>3</v>
      </c>
      <c r="F26" s="36">
        <v>4</v>
      </c>
      <c r="G26" s="36">
        <v>5</v>
      </c>
    </row>
    <row r="28" spans="1:9" ht="18" customHeight="1" x14ac:dyDescent="0.3">
      <c r="B28" s="8" t="s">
        <v>276</v>
      </c>
      <c r="C28" s="8"/>
      <c r="D28" s="7" t="s">
        <v>277</v>
      </c>
      <c r="E28" s="7"/>
      <c r="F28" s="6" t="s">
        <v>278</v>
      </c>
      <c r="G28" s="6"/>
      <c r="H28" s="5" t="s">
        <v>279</v>
      </c>
      <c r="I28" s="5"/>
    </row>
  </sheetData>
  <mergeCells count="7">
    <mergeCell ref="A1:I1"/>
    <mergeCell ref="A2:I2"/>
    <mergeCell ref="B20:I20"/>
    <mergeCell ref="B28:C28"/>
    <mergeCell ref="D28:E28"/>
    <mergeCell ref="F28:G28"/>
    <mergeCell ref="H28:I28"/>
  </mergeCells>
  <conditionalFormatting sqref="G6:G17">
    <cfRule type="cellIs" dxfId="29" priority="2" operator="greaterThanOrEqual">
      <formula>16</formula>
    </cfRule>
    <cfRule type="cellIs" dxfId="28" priority="3" operator="between">
      <formula>11</formula>
      <formula>15</formula>
    </cfRule>
    <cfRule type="cellIs" dxfId="27" priority="4" operator="between">
      <formula>6</formula>
      <formula>10</formula>
    </cfRule>
    <cfRule type="cellIs" dxfId="26" priority="5" operator="between">
      <formula>1</formula>
      <formula>5</formula>
    </cfRule>
  </conditionalFormatting>
  <conditionalFormatting sqref="H6:H17">
    <cfRule type="expression" dxfId="25" priority="6">
      <formula>H6="CRITICO"</formula>
    </cfRule>
    <cfRule type="expression" dxfId="24" priority="7">
      <formula>H6="ALTO"</formula>
    </cfRule>
    <cfRule type="expression" dxfId="23" priority="8">
      <formula>H6="MEDIO"</formula>
    </cfRule>
    <cfRule type="expression" dxfId="22" priority="9">
      <formula>H6="BAJO"</formula>
    </cfRule>
  </conditionalFormatting>
  <conditionalFormatting sqref="I6:I17">
    <cfRule type="expression" dxfId="21" priority="10">
      <formula>EXACT(I6,"MITIGAR / EVITAR")</formula>
    </cfRule>
    <cfRule type="expression" dxfId="20" priority="11">
      <formula>EXACT(I6,"MITIGAR")</formula>
    </cfRule>
    <cfRule type="expression" dxfId="19" priority="12">
      <formula>EXACT(I6,"MITIGAR / TRANSFERIR")</formula>
    </cfRule>
    <cfRule type="expression" dxfId="18" priority="13">
      <formula>EXACT(I6,"ACEPTAR")</formula>
    </cfRule>
  </conditionalFormatting>
  <dataValidations count="2">
    <dataValidation type="whole" allowBlank="1" showErrorMessage="1" errorTitle="Valor inválido" error="Ingresar un número del 1 al 5" promptTitle="Probabilidad" prompt="Ingrese probabilidad de 1 (muy baja) a 5 (muy alta)" sqref="E6:E17" xr:uid="{00000000-0002-0000-0400-000000000000}">
      <formula1>1</formula1>
      <formula2>5</formula2>
    </dataValidation>
    <dataValidation type="whole" allowBlank="1" showErrorMessage="1" errorTitle="Valor inválido" error="Ingresar un número del 1 al 5" sqref="F6:F17" xr:uid="{00000000-0002-0000-0400-000001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6" sqref="H6"/>
    </sheetView>
  </sheetViews>
  <sheetFormatPr baseColWidth="10" defaultColWidth="8.6640625" defaultRowHeight="14.4" x14ac:dyDescent="0.3"/>
  <cols>
    <col min="1" max="1" width="3" customWidth="1"/>
    <col min="2" max="2" width="6" customWidth="1"/>
    <col min="3" max="3" width="26" customWidth="1"/>
    <col min="4" max="4" width="16" customWidth="1"/>
    <col min="5" max="5" width="40" customWidth="1"/>
    <col min="6" max="6" width="18" customWidth="1"/>
    <col min="7" max="7" width="12" customWidth="1"/>
    <col min="8" max="8" width="14" customWidth="1"/>
  </cols>
  <sheetData>
    <row r="1" spans="1:8" ht="37.5" customHeight="1" x14ac:dyDescent="0.3">
      <c r="A1" s="14" t="s">
        <v>280</v>
      </c>
      <c r="B1" s="14"/>
      <c r="C1" s="14"/>
      <c r="D1" s="14"/>
      <c r="E1" s="14"/>
      <c r="F1" s="14"/>
      <c r="G1" s="14"/>
      <c r="H1" s="14"/>
    </row>
    <row r="2" spans="1:8" ht="21.75" customHeight="1" x14ac:dyDescent="0.3">
      <c r="A2" s="13" t="s">
        <v>281</v>
      </c>
      <c r="B2" s="13"/>
      <c r="C2" s="13"/>
      <c r="D2" s="13"/>
      <c r="E2" s="13"/>
      <c r="F2" s="13"/>
      <c r="G2" s="13"/>
      <c r="H2" s="13"/>
    </row>
    <row r="3" spans="1:8" ht="18" customHeight="1" x14ac:dyDescent="0.3">
      <c r="A3" s="15" t="s">
        <v>282</v>
      </c>
    </row>
    <row r="5" spans="1:8" ht="30" customHeight="1" x14ac:dyDescent="0.3">
      <c r="A5" s="16" t="s">
        <v>91</v>
      </c>
      <c r="B5" s="16" t="s">
        <v>92</v>
      </c>
      <c r="C5" s="16" t="s">
        <v>283</v>
      </c>
      <c r="D5" s="16" t="s">
        <v>284</v>
      </c>
      <c r="E5" s="16" t="s">
        <v>285</v>
      </c>
      <c r="F5" s="16" t="s">
        <v>286</v>
      </c>
      <c r="G5" s="16" t="s">
        <v>287</v>
      </c>
      <c r="H5" s="16" t="s">
        <v>102</v>
      </c>
    </row>
    <row r="6" spans="1:8" ht="37.5" customHeight="1" x14ac:dyDescent="0.3">
      <c r="A6" s="30">
        <v>1</v>
      </c>
      <c r="B6" s="30" t="s">
        <v>187</v>
      </c>
      <c r="C6" s="17" t="s">
        <v>242</v>
      </c>
      <c r="D6" s="40" t="s">
        <v>288</v>
      </c>
      <c r="E6" s="18" t="s">
        <v>289</v>
      </c>
      <c r="F6" s="19" t="s">
        <v>290</v>
      </c>
      <c r="G6" s="28" t="s">
        <v>291</v>
      </c>
      <c r="H6" s="28" t="s">
        <v>566</v>
      </c>
    </row>
    <row r="7" spans="1:8" ht="37.5" customHeight="1" x14ac:dyDescent="0.3">
      <c r="A7" s="29">
        <v>2</v>
      </c>
      <c r="B7" s="29" t="s">
        <v>191</v>
      </c>
      <c r="C7" s="20" t="s">
        <v>293</v>
      </c>
      <c r="D7" s="40" t="s">
        <v>288</v>
      </c>
      <c r="E7" s="21" t="s">
        <v>294</v>
      </c>
      <c r="F7" s="19" t="s">
        <v>115</v>
      </c>
      <c r="G7" s="28" t="s">
        <v>291</v>
      </c>
      <c r="H7" s="28" t="s">
        <v>292</v>
      </c>
    </row>
    <row r="8" spans="1:8" ht="37.5" customHeight="1" x14ac:dyDescent="0.3">
      <c r="A8" s="30">
        <v>3</v>
      </c>
      <c r="B8" s="30" t="s">
        <v>195</v>
      </c>
      <c r="C8" s="17" t="s">
        <v>295</v>
      </c>
      <c r="D8" s="40" t="s">
        <v>288</v>
      </c>
      <c r="E8" s="18" t="s">
        <v>296</v>
      </c>
      <c r="F8" s="19" t="s">
        <v>297</v>
      </c>
      <c r="G8" s="28" t="s">
        <v>291</v>
      </c>
      <c r="H8" s="28" t="s">
        <v>298</v>
      </c>
    </row>
    <row r="9" spans="1:8" ht="37.5" customHeight="1" x14ac:dyDescent="0.3">
      <c r="A9" s="29">
        <v>4</v>
      </c>
      <c r="B9" s="29" t="s">
        <v>199</v>
      </c>
      <c r="C9" s="20" t="s">
        <v>299</v>
      </c>
      <c r="D9" s="40" t="s">
        <v>288</v>
      </c>
      <c r="E9" s="21" t="s">
        <v>300</v>
      </c>
      <c r="F9" s="19" t="s">
        <v>115</v>
      </c>
      <c r="G9" s="28" t="s">
        <v>301</v>
      </c>
      <c r="H9" s="28" t="s">
        <v>298</v>
      </c>
    </row>
    <row r="10" spans="1:8" ht="37.5" customHeight="1" x14ac:dyDescent="0.3">
      <c r="A10" s="30">
        <v>5</v>
      </c>
      <c r="B10" s="30" t="s">
        <v>202</v>
      </c>
      <c r="C10" s="17" t="s">
        <v>302</v>
      </c>
      <c r="D10" s="40" t="s">
        <v>288</v>
      </c>
      <c r="E10" s="18" t="s">
        <v>303</v>
      </c>
      <c r="F10" s="19" t="s">
        <v>115</v>
      </c>
      <c r="G10" s="28" t="s">
        <v>301</v>
      </c>
      <c r="H10" s="28" t="s">
        <v>298</v>
      </c>
    </row>
    <row r="11" spans="1:8" ht="37.5" customHeight="1" x14ac:dyDescent="0.3">
      <c r="A11" s="29">
        <v>6</v>
      </c>
      <c r="B11" s="29" t="s">
        <v>207</v>
      </c>
      <c r="C11" s="20" t="s">
        <v>304</v>
      </c>
      <c r="D11" s="40" t="s">
        <v>288</v>
      </c>
      <c r="E11" s="21" t="s">
        <v>305</v>
      </c>
      <c r="F11" s="19" t="s">
        <v>115</v>
      </c>
      <c r="G11" s="28" t="s">
        <v>301</v>
      </c>
      <c r="H11" s="28" t="s">
        <v>298</v>
      </c>
    </row>
    <row r="12" spans="1:8" ht="37.5" customHeight="1" x14ac:dyDescent="0.3">
      <c r="A12" s="30">
        <v>7</v>
      </c>
      <c r="B12" s="30" t="s">
        <v>211</v>
      </c>
      <c r="C12" s="17" t="s">
        <v>306</v>
      </c>
      <c r="D12" s="40" t="s">
        <v>288</v>
      </c>
      <c r="E12" s="18" t="s">
        <v>307</v>
      </c>
      <c r="F12" s="19" t="s">
        <v>115</v>
      </c>
      <c r="G12" s="28" t="s">
        <v>301</v>
      </c>
      <c r="H12" s="28" t="s">
        <v>298</v>
      </c>
    </row>
    <row r="13" spans="1:8" ht="37.5" customHeight="1" x14ac:dyDescent="0.3">
      <c r="A13" s="29">
        <v>8</v>
      </c>
      <c r="B13" s="29" t="s">
        <v>214</v>
      </c>
      <c r="C13" s="20" t="s">
        <v>308</v>
      </c>
      <c r="D13" s="40" t="s">
        <v>309</v>
      </c>
      <c r="E13" s="21" t="s">
        <v>310</v>
      </c>
      <c r="F13" s="19" t="s">
        <v>311</v>
      </c>
      <c r="G13" s="28" t="s">
        <v>312</v>
      </c>
      <c r="H13" s="28" t="s">
        <v>298</v>
      </c>
    </row>
    <row r="14" spans="1:8" ht="37.5" customHeight="1" x14ac:dyDescent="0.3">
      <c r="A14" s="30">
        <v>9</v>
      </c>
      <c r="B14" s="30" t="s">
        <v>217</v>
      </c>
      <c r="C14" s="17" t="s">
        <v>313</v>
      </c>
      <c r="D14" s="40" t="s">
        <v>288</v>
      </c>
      <c r="E14" s="18" t="s">
        <v>314</v>
      </c>
      <c r="F14" s="19" t="s">
        <v>315</v>
      </c>
      <c r="G14" s="28" t="s">
        <v>312</v>
      </c>
      <c r="H14" s="28" t="s">
        <v>298</v>
      </c>
    </row>
    <row r="15" spans="1:8" ht="37.5" customHeight="1" x14ac:dyDescent="0.3">
      <c r="A15" s="29">
        <v>10</v>
      </c>
      <c r="B15" s="29" t="s">
        <v>221</v>
      </c>
      <c r="C15" s="20" t="s">
        <v>316</v>
      </c>
      <c r="D15" s="40" t="s">
        <v>288</v>
      </c>
      <c r="E15" s="21" t="s">
        <v>317</v>
      </c>
      <c r="F15" s="19" t="s">
        <v>115</v>
      </c>
      <c r="G15" s="28" t="s">
        <v>291</v>
      </c>
      <c r="H15" s="28" t="s">
        <v>292</v>
      </c>
    </row>
    <row r="16" spans="1:8" ht="37.5" customHeight="1" x14ac:dyDescent="0.3">
      <c r="A16" s="30">
        <v>11</v>
      </c>
      <c r="B16" s="30" t="s">
        <v>224</v>
      </c>
      <c r="C16" s="17" t="s">
        <v>318</v>
      </c>
      <c r="D16" s="40" t="s">
        <v>288</v>
      </c>
      <c r="E16" s="18" t="s">
        <v>319</v>
      </c>
      <c r="F16" s="19" t="s">
        <v>115</v>
      </c>
      <c r="G16" s="28" t="s">
        <v>312</v>
      </c>
      <c r="H16" s="28" t="s">
        <v>298</v>
      </c>
    </row>
    <row r="17" spans="1:8" ht="37.5" customHeight="1" x14ac:dyDescent="0.3">
      <c r="A17" s="29">
        <v>12</v>
      </c>
      <c r="B17" s="29" t="s">
        <v>229</v>
      </c>
      <c r="C17" s="20" t="s">
        <v>262</v>
      </c>
      <c r="D17" s="40" t="s">
        <v>288</v>
      </c>
      <c r="E17" s="21" t="s">
        <v>320</v>
      </c>
      <c r="F17" s="19" t="s">
        <v>321</v>
      </c>
      <c r="G17" s="28" t="s">
        <v>301</v>
      </c>
      <c r="H17" s="28" t="s">
        <v>298</v>
      </c>
    </row>
  </sheetData>
  <mergeCells count="2">
    <mergeCell ref="A1:H1"/>
    <mergeCell ref="A2:H2"/>
  </mergeCells>
  <conditionalFormatting sqref="D6:D17">
    <cfRule type="expression" dxfId="17" priority="2">
      <formula>NOT(ISERROR(SEARCH("MITIGAR",D6)))</formula>
    </cfRule>
    <cfRule type="expression" dxfId="16" priority="3">
      <formula>NOT(ISERROR(SEARCH("EVITAR",D6)))</formula>
    </cfRule>
    <cfRule type="expression" dxfId="15" priority="4">
      <formula>NOT(ISERROR(SEARCH("TRANSFERIR",D6)))</formula>
    </cfRule>
    <cfRule type="expression" dxfId="14" priority="5">
      <formula>NOT(ISERROR(SEARCH("ACEPTAR",D6)))</formula>
    </cfRule>
    <cfRule type="expression" dxfId="13" priority="6">
      <formula>NOT(ISERROR(SEARCH("TRANSFERIR + MITIGAR",D6)))</formula>
    </cfRule>
    <cfRule type="expression" dxfId="12" priority="7">
      <formula>NOT(ISERROR(SEARCH("MITIGAR + TRANSFERIR",D6)))</formula>
    </cfRule>
  </conditionalFormatting>
  <conditionalFormatting sqref="H6:H17">
    <cfRule type="expression" dxfId="11" priority="8">
      <formula>NOT(ISERROR(SEARCH("Completado",H6)))</formula>
    </cfRule>
    <cfRule type="expression" dxfId="10" priority="9">
      <formula>NOT(ISERROR(SEARCH("En proceso",H6)))</formula>
    </cfRule>
    <cfRule type="expression" dxfId="9" priority="10">
      <formula>NOT(ISERROR(SEARCH("Pendiente",H6)))</formula>
    </cfRule>
  </conditionalFormatting>
  <dataValidations count="2">
    <dataValidation type="list" allowBlank="1" sqref="D6:D17" xr:uid="{00000000-0002-0000-0500-000000000000}">
      <formula1>"MITIGAR,EVITAR,TRANSFERIR,ACEPTAR,TRANSFERIR + MITIGAR,MITIGAR + TRANSFERIR"</formula1>
      <formula2>0</formula2>
    </dataValidation>
    <dataValidation type="list" allowBlank="1" sqref="H6:H17" xr:uid="{00000000-0002-0000-0500-000001000000}">
      <formula1>"🔲 Pendiente,⚠️ En proceso,✅ Completado"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7" sqref="H7"/>
    </sheetView>
  </sheetViews>
  <sheetFormatPr baseColWidth="10" defaultColWidth="8.6640625" defaultRowHeight="14.4" x14ac:dyDescent="0.3"/>
  <cols>
    <col min="1" max="1" width="3" customWidth="1"/>
    <col min="2" max="2" width="7" customWidth="1"/>
    <col min="3" max="3" width="30" customWidth="1"/>
    <col min="4" max="4" width="14" customWidth="1"/>
    <col min="5" max="5" width="10" customWidth="1"/>
    <col min="6" max="6" width="22" customWidth="1"/>
    <col min="7" max="7" width="32" customWidth="1"/>
    <col min="8" max="8" width="20" customWidth="1"/>
  </cols>
  <sheetData>
    <row r="1" spans="1:8" ht="37.5" customHeight="1" x14ac:dyDescent="0.3">
      <c r="A1" s="14" t="s">
        <v>322</v>
      </c>
      <c r="B1" s="14"/>
      <c r="C1" s="14"/>
      <c r="D1" s="14"/>
      <c r="E1" s="14"/>
      <c r="F1" s="14"/>
      <c r="G1" s="14"/>
      <c r="H1" s="14"/>
    </row>
    <row r="2" spans="1:8" ht="21.75" customHeight="1" x14ac:dyDescent="0.3">
      <c r="A2" s="13" t="s">
        <v>323</v>
      </c>
      <c r="B2" s="13"/>
      <c r="C2" s="13"/>
      <c r="D2" s="13"/>
      <c r="E2" s="13"/>
      <c r="F2" s="13"/>
      <c r="G2" s="13"/>
      <c r="H2" s="13"/>
    </row>
    <row r="3" spans="1:8" ht="18" customHeight="1" x14ac:dyDescent="0.3">
      <c r="A3" s="15" t="s">
        <v>324</v>
      </c>
    </row>
    <row r="5" spans="1:8" ht="30" customHeight="1" x14ac:dyDescent="0.3">
      <c r="A5" s="16" t="s">
        <v>91</v>
      </c>
      <c r="B5" s="16" t="s">
        <v>325</v>
      </c>
      <c r="C5" s="16" t="s">
        <v>326</v>
      </c>
      <c r="D5" s="16" t="s">
        <v>39</v>
      </c>
      <c r="E5" s="16" t="s">
        <v>327</v>
      </c>
      <c r="F5" s="16" t="s">
        <v>328</v>
      </c>
      <c r="G5" s="16" t="s">
        <v>329</v>
      </c>
      <c r="H5" s="16" t="s">
        <v>330</v>
      </c>
    </row>
    <row r="6" spans="1:8" ht="15.75" customHeight="1" x14ac:dyDescent="0.3">
      <c r="A6" s="41">
        <v>1</v>
      </c>
      <c r="B6" s="42" t="s">
        <v>331</v>
      </c>
      <c r="C6" s="24" t="s">
        <v>332</v>
      </c>
      <c r="D6" s="43" t="s">
        <v>333</v>
      </c>
      <c r="E6" s="44" t="s">
        <v>334</v>
      </c>
      <c r="F6" s="45"/>
      <c r="G6" s="45"/>
      <c r="H6" s="46" t="s">
        <v>335</v>
      </c>
    </row>
    <row r="7" spans="1:8" ht="15.75" customHeight="1" x14ac:dyDescent="0.3">
      <c r="A7" s="47">
        <v>2</v>
      </c>
      <c r="B7" s="42" t="s">
        <v>336</v>
      </c>
      <c r="C7" s="21" t="s">
        <v>337</v>
      </c>
      <c r="D7" s="43" t="s">
        <v>333</v>
      </c>
      <c r="E7" s="44" t="s">
        <v>334</v>
      </c>
      <c r="F7" s="45"/>
      <c r="G7" s="45"/>
      <c r="H7" s="46" t="s">
        <v>555</v>
      </c>
    </row>
    <row r="8" spans="1:8" ht="15.75" customHeight="1" x14ac:dyDescent="0.3">
      <c r="A8" s="41">
        <v>3</v>
      </c>
      <c r="B8" s="42" t="s">
        <v>338</v>
      </c>
      <c r="C8" s="24" t="s">
        <v>339</v>
      </c>
      <c r="D8" s="43" t="s">
        <v>333</v>
      </c>
      <c r="E8" s="44" t="s">
        <v>334</v>
      </c>
      <c r="F8" s="45"/>
      <c r="G8" s="45"/>
      <c r="H8" s="46" t="s">
        <v>335</v>
      </c>
    </row>
    <row r="9" spans="1:8" ht="15.75" customHeight="1" x14ac:dyDescent="0.3">
      <c r="A9" s="47">
        <v>4</v>
      </c>
      <c r="B9" s="42" t="s">
        <v>340</v>
      </c>
      <c r="C9" s="21" t="s">
        <v>341</v>
      </c>
      <c r="D9" s="43" t="s">
        <v>333</v>
      </c>
      <c r="E9" s="44" t="s">
        <v>334</v>
      </c>
      <c r="F9" s="45"/>
      <c r="G9" s="45"/>
      <c r="H9" s="46" t="s">
        <v>335</v>
      </c>
    </row>
    <row r="10" spans="1:8" ht="15.75" customHeight="1" x14ac:dyDescent="0.3">
      <c r="A10" s="41">
        <v>5</v>
      </c>
      <c r="B10" s="42" t="s">
        <v>342</v>
      </c>
      <c r="C10" s="24" t="s">
        <v>343</v>
      </c>
      <c r="D10" s="43" t="s">
        <v>333</v>
      </c>
      <c r="E10" s="44" t="s">
        <v>334</v>
      </c>
      <c r="F10" s="45"/>
      <c r="G10" s="45"/>
      <c r="H10" s="46" t="s">
        <v>335</v>
      </c>
    </row>
    <row r="11" spans="1:8" ht="15.75" customHeight="1" x14ac:dyDescent="0.3">
      <c r="A11" s="47">
        <v>6</v>
      </c>
      <c r="B11" s="42" t="s">
        <v>344</v>
      </c>
      <c r="C11" s="21" t="s">
        <v>345</v>
      </c>
      <c r="D11" s="43" t="s">
        <v>333</v>
      </c>
      <c r="E11" s="44" t="s">
        <v>334</v>
      </c>
      <c r="F11" s="45"/>
      <c r="G11" s="45"/>
      <c r="H11" s="46" t="s">
        <v>335</v>
      </c>
    </row>
    <row r="12" spans="1:8" ht="15.75" customHeight="1" x14ac:dyDescent="0.3">
      <c r="A12" s="41">
        <v>7</v>
      </c>
      <c r="B12" s="42" t="s">
        <v>346</v>
      </c>
      <c r="C12" s="24" t="s">
        <v>347</v>
      </c>
      <c r="D12" s="43" t="s">
        <v>333</v>
      </c>
      <c r="E12" s="44" t="s">
        <v>334</v>
      </c>
      <c r="F12" s="45"/>
      <c r="G12" s="45"/>
      <c r="H12" s="46" t="s">
        <v>335</v>
      </c>
    </row>
    <row r="13" spans="1:8" ht="15.75" customHeight="1" x14ac:dyDescent="0.3">
      <c r="A13" s="47">
        <v>8</v>
      </c>
      <c r="B13" s="42" t="s">
        <v>348</v>
      </c>
      <c r="C13" s="21" t="s">
        <v>349</v>
      </c>
      <c r="D13" s="43" t="s">
        <v>333</v>
      </c>
      <c r="E13" s="44" t="s">
        <v>334</v>
      </c>
      <c r="F13" s="45"/>
      <c r="G13" s="45"/>
      <c r="H13" s="46" t="s">
        <v>335</v>
      </c>
    </row>
    <row r="14" spans="1:8" ht="15.75" customHeight="1" x14ac:dyDescent="0.3">
      <c r="A14" s="41">
        <v>9</v>
      </c>
      <c r="B14" s="42" t="s">
        <v>350</v>
      </c>
      <c r="C14" s="24" t="s">
        <v>351</v>
      </c>
      <c r="D14" s="43" t="s">
        <v>333</v>
      </c>
      <c r="E14" s="44" t="s">
        <v>334</v>
      </c>
      <c r="F14" s="45"/>
      <c r="G14" s="45"/>
      <c r="H14" s="46" t="s">
        <v>335</v>
      </c>
    </row>
    <row r="15" spans="1:8" ht="15.75" customHeight="1" x14ac:dyDescent="0.3">
      <c r="A15" s="47">
        <v>10</v>
      </c>
      <c r="B15" s="42" t="s">
        <v>352</v>
      </c>
      <c r="C15" s="21" t="s">
        <v>353</v>
      </c>
      <c r="D15" s="43" t="s">
        <v>333</v>
      </c>
      <c r="E15" s="44" t="s">
        <v>334</v>
      </c>
      <c r="F15" s="45"/>
      <c r="G15" s="45"/>
      <c r="H15" s="46" t="s">
        <v>335</v>
      </c>
    </row>
    <row r="16" spans="1:8" ht="15.75" customHeight="1" x14ac:dyDescent="0.3">
      <c r="A16" s="41">
        <v>11</v>
      </c>
      <c r="B16" s="42" t="s">
        <v>354</v>
      </c>
      <c r="C16" s="24" t="s">
        <v>355</v>
      </c>
      <c r="D16" s="43" t="s">
        <v>333</v>
      </c>
      <c r="E16" s="44" t="s">
        <v>334</v>
      </c>
      <c r="F16" s="45"/>
      <c r="G16" s="45"/>
      <c r="H16" s="46" t="s">
        <v>335</v>
      </c>
    </row>
    <row r="17" spans="1:8" ht="15.75" customHeight="1" x14ac:dyDescent="0.3">
      <c r="A17" s="47">
        <v>12</v>
      </c>
      <c r="B17" s="42" t="s">
        <v>356</v>
      </c>
      <c r="C17" s="21" t="s">
        <v>357</v>
      </c>
      <c r="D17" s="43" t="s">
        <v>333</v>
      </c>
      <c r="E17" s="44" t="s">
        <v>334</v>
      </c>
      <c r="F17" s="45"/>
      <c r="G17" s="45"/>
      <c r="H17" s="46" t="s">
        <v>335</v>
      </c>
    </row>
    <row r="18" spans="1:8" ht="15.75" customHeight="1" x14ac:dyDescent="0.3">
      <c r="A18" s="41">
        <v>13</v>
      </c>
      <c r="B18" s="42" t="s">
        <v>358</v>
      </c>
      <c r="C18" s="24" t="s">
        <v>359</v>
      </c>
      <c r="D18" s="43" t="s">
        <v>333</v>
      </c>
      <c r="E18" s="44" t="s">
        <v>334</v>
      </c>
      <c r="F18" s="45"/>
      <c r="G18" s="45"/>
      <c r="H18" s="46" t="s">
        <v>335</v>
      </c>
    </row>
    <row r="19" spans="1:8" ht="15.75" customHeight="1" x14ac:dyDescent="0.3">
      <c r="A19" s="47">
        <v>14</v>
      </c>
      <c r="B19" s="42" t="s">
        <v>360</v>
      </c>
      <c r="C19" s="21" t="s">
        <v>361</v>
      </c>
      <c r="D19" s="43" t="s">
        <v>333</v>
      </c>
      <c r="E19" s="44" t="s">
        <v>334</v>
      </c>
      <c r="F19" s="45"/>
      <c r="G19" s="45"/>
      <c r="H19" s="46" t="s">
        <v>335</v>
      </c>
    </row>
    <row r="20" spans="1:8" ht="15.75" customHeight="1" x14ac:dyDescent="0.3">
      <c r="A20" s="41">
        <v>15</v>
      </c>
      <c r="B20" s="42" t="s">
        <v>362</v>
      </c>
      <c r="C20" s="24" t="s">
        <v>363</v>
      </c>
      <c r="D20" s="43" t="s">
        <v>333</v>
      </c>
      <c r="E20" s="44" t="s">
        <v>334</v>
      </c>
      <c r="F20" s="45"/>
      <c r="G20" s="45"/>
      <c r="H20" s="46" t="s">
        <v>335</v>
      </c>
    </row>
    <row r="21" spans="1:8" ht="15.75" customHeight="1" x14ac:dyDescent="0.3">
      <c r="A21" s="47">
        <v>16</v>
      </c>
      <c r="B21" s="42" t="s">
        <v>364</v>
      </c>
      <c r="C21" s="21" t="s">
        <v>365</v>
      </c>
      <c r="D21" s="43" t="s">
        <v>333</v>
      </c>
      <c r="E21" s="44" t="s">
        <v>334</v>
      </c>
      <c r="F21" s="45"/>
      <c r="G21" s="45"/>
      <c r="H21" s="46" t="s">
        <v>335</v>
      </c>
    </row>
    <row r="22" spans="1:8" ht="15.75" customHeight="1" x14ac:dyDescent="0.3">
      <c r="A22" s="41">
        <v>17</v>
      </c>
      <c r="B22" s="42" t="s">
        <v>366</v>
      </c>
      <c r="C22" s="24" t="s">
        <v>367</v>
      </c>
      <c r="D22" s="43" t="s">
        <v>333</v>
      </c>
      <c r="E22" s="44" t="s">
        <v>334</v>
      </c>
      <c r="F22" s="45"/>
      <c r="G22" s="45"/>
      <c r="H22" s="46" t="s">
        <v>335</v>
      </c>
    </row>
    <row r="23" spans="1:8" ht="15.75" customHeight="1" x14ac:dyDescent="0.3">
      <c r="A23" s="47">
        <v>18</v>
      </c>
      <c r="B23" s="42" t="s">
        <v>368</v>
      </c>
      <c r="C23" s="21" t="s">
        <v>369</v>
      </c>
      <c r="D23" s="43" t="s">
        <v>333</v>
      </c>
      <c r="E23" s="44" t="s">
        <v>334</v>
      </c>
      <c r="F23" s="45"/>
      <c r="G23" s="45"/>
      <c r="H23" s="46" t="s">
        <v>335</v>
      </c>
    </row>
    <row r="24" spans="1:8" ht="15.75" customHeight="1" x14ac:dyDescent="0.3">
      <c r="A24" s="41">
        <v>19</v>
      </c>
      <c r="B24" s="42" t="s">
        <v>370</v>
      </c>
      <c r="C24" s="24" t="s">
        <v>371</v>
      </c>
      <c r="D24" s="43" t="s">
        <v>333</v>
      </c>
      <c r="E24" s="44" t="s">
        <v>334</v>
      </c>
      <c r="F24" s="45"/>
      <c r="G24" s="45"/>
      <c r="H24" s="46" t="s">
        <v>335</v>
      </c>
    </row>
    <row r="25" spans="1:8" ht="15.75" customHeight="1" x14ac:dyDescent="0.3">
      <c r="A25" s="47">
        <v>20</v>
      </c>
      <c r="B25" s="42" t="s">
        <v>372</v>
      </c>
      <c r="C25" s="21" t="s">
        <v>373</v>
      </c>
      <c r="D25" s="43" t="s">
        <v>333</v>
      </c>
      <c r="E25" s="44" t="s">
        <v>334</v>
      </c>
      <c r="F25" s="45"/>
      <c r="G25" s="45"/>
      <c r="H25" s="46" t="s">
        <v>335</v>
      </c>
    </row>
    <row r="26" spans="1:8" ht="15.75" customHeight="1" x14ac:dyDescent="0.3">
      <c r="A26" s="41">
        <v>21</v>
      </c>
      <c r="B26" s="42" t="s">
        <v>374</v>
      </c>
      <c r="C26" s="24" t="s">
        <v>375</v>
      </c>
      <c r="D26" s="43" t="s">
        <v>333</v>
      </c>
      <c r="E26" s="44" t="s">
        <v>334</v>
      </c>
      <c r="F26" s="45"/>
      <c r="G26" s="45"/>
      <c r="H26" s="46" t="s">
        <v>335</v>
      </c>
    </row>
    <row r="27" spans="1:8" ht="15.75" customHeight="1" x14ac:dyDescent="0.3">
      <c r="A27" s="47">
        <v>22</v>
      </c>
      <c r="B27" s="42" t="s">
        <v>376</v>
      </c>
      <c r="C27" s="21" t="s">
        <v>377</v>
      </c>
      <c r="D27" s="43" t="s">
        <v>333</v>
      </c>
      <c r="E27" s="44" t="s">
        <v>334</v>
      </c>
      <c r="F27" s="45"/>
      <c r="G27" s="45"/>
      <c r="H27" s="46" t="s">
        <v>335</v>
      </c>
    </row>
    <row r="28" spans="1:8" ht="15.75" customHeight="1" x14ac:dyDescent="0.3">
      <c r="A28" s="41">
        <v>23</v>
      </c>
      <c r="B28" s="42" t="s">
        <v>378</v>
      </c>
      <c r="C28" s="24" t="s">
        <v>379</v>
      </c>
      <c r="D28" s="43" t="s">
        <v>333</v>
      </c>
      <c r="E28" s="44" t="s">
        <v>334</v>
      </c>
      <c r="F28" s="45"/>
      <c r="G28" s="45"/>
      <c r="H28" s="46" t="s">
        <v>335</v>
      </c>
    </row>
    <row r="29" spans="1:8" ht="15.75" customHeight="1" x14ac:dyDescent="0.3">
      <c r="A29" s="47">
        <v>24</v>
      </c>
      <c r="B29" s="42" t="s">
        <v>380</v>
      </c>
      <c r="C29" s="21" t="s">
        <v>381</v>
      </c>
      <c r="D29" s="43" t="s">
        <v>333</v>
      </c>
      <c r="E29" s="44" t="s">
        <v>334</v>
      </c>
      <c r="F29" s="45"/>
      <c r="G29" s="45"/>
      <c r="H29" s="46" t="s">
        <v>335</v>
      </c>
    </row>
    <row r="30" spans="1:8" ht="15.75" customHeight="1" x14ac:dyDescent="0.3">
      <c r="A30" s="41">
        <v>25</v>
      </c>
      <c r="B30" s="42" t="s">
        <v>382</v>
      </c>
      <c r="C30" s="24" t="s">
        <v>383</v>
      </c>
      <c r="D30" s="43" t="s">
        <v>333</v>
      </c>
      <c r="E30" s="44" t="s">
        <v>334</v>
      </c>
      <c r="F30" s="45"/>
      <c r="G30" s="45"/>
      <c r="H30" s="46" t="s">
        <v>335</v>
      </c>
    </row>
    <row r="31" spans="1:8" ht="15.75" customHeight="1" x14ac:dyDescent="0.3">
      <c r="A31" s="47">
        <v>26</v>
      </c>
      <c r="B31" s="42" t="s">
        <v>384</v>
      </c>
      <c r="C31" s="21" t="s">
        <v>385</v>
      </c>
      <c r="D31" s="43" t="s">
        <v>333</v>
      </c>
      <c r="E31" s="44" t="s">
        <v>334</v>
      </c>
      <c r="F31" s="45"/>
      <c r="G31" s="45"/>
      <c r="H31" s="46" t="s">
        <v>335</v>
      </c>
    </row>
    <row r="32" spans="1:8" ht="15.75" customHeight="1" x14ac:dyDescent="0.3">
      <c r="A32" s="41">
        <v>27</v>
      </c>
      <c r="B32" s="42" t="s">
        <v>386</v>
      </c>
      <c r="C32" s="24" t="s">
        <v>387</v>
      </c>
      <c r="D32" s="43" t="s">
        <v>333</v>
      </c>
      <c r="E32" s="44" t="s">
        <v>334</v>
      </c>
      <c r="F32" s="45"/>
      <c r="G32" s="45"/>
      <c r="H32" s="46" t="s">
        <v>335</v>
      </c>
    </row>
    <row r="33" spans="1:8" ht="15.75" customHeight="1" x14ac:dyDescent="0.3">
      <c r="A33" s="47">
        <v>28</v>
      </c>
      <c r="B33" s="42" t="s">
        <v>388</v>
      </c>
      <c r="C33" s="21" t="s">
        <v>389</v>
      </c>
      <c r="D33" s="43" t="s">
        <v>333</v>
      </c>
      <c r="E33" s="44" t="s">
        <v>334</v>
      </c>
      <c r="F33" s="45"/>
      <c r="G33" s="45"/>
      <c r="H33" s="46" t="s">
        <v>335</v>
      </c>
    </row>
    <row r="34" spans="1:8" ht="15.75" customHeight="1" x14ac:dyDescent="0.3">
      <c r="A34" s="41">
        <v>29</v>
      </c>
      <c r="B34" s="42" t="s">
        <v>390</v>
      </c>
      <c r="C34" s="24" t="s">
        <v>391</v>
      </c>
      <c r="D34" s="43" t="s">
        <v>333</v>
      </c>
      <c r="E34" s="44" t="s">
        <v>334</v>
      </c>
      <c r="F34" s="45"/>
      <c r="G34" s="45"/>
      <c r="H34" s="46" t="s">
        <v>335</v>
      </c>
    </row>
    <row r="35" spans="1:8" ht="15.75" customHeight="1" x14ac:dyDescent="0.3">
      <c r="A35" s="47">
        <v>30</v>
      </c>
      <c r="B35" s="42" t="s">
        <v>392</v>
      </c>
      <c r="C35" s="21" t="s">
        <v>393</v>
      </c>
      <c r="D35" s="43" t="s">
        <v>333</v>
      </c>
      <c r="E35" s="44" t="s">
        <v>334</v>
      </c>
      <c r="F35" s="45"/>
      <c r="G35" s="45"/>
      <c r="H35" s="46" t="s">
        <v>335</v>
      </c>
    </row>
    <row r="36" spans="1:8" ht="15.75" customHeight="1" x14ac:dyDescent="0.3">
      <c r="A36" s="41">
        <v>31</v>
      </c>
      <c r="B36" s="42" t="s">
        <v>394</v>
      </c>
      <c r="C36" s="24" t="s">
        <v>395</v>
      </c>
      <c r="D36" s="43" t="s">
        <v>333</v>
      </c>
      <c r="E36" s="44" t="s">
        <v>334</v>
      </c>
      <c r="F36" s="45"/>
      <c r="G36" s="45"/>
      <c r="H36" s="46" t="s">
        <v>335</v>
      </c>
    </row>
    <row r="37" spans="1:8" ht="15.75" customHeight="1" x14ac:dyDescent="0.3">
      <c r="A37" s="47">
        <v>32</v>
      </c>
      <c r="B37" s="42" t="s">
        <v>396</v>
      </c>
      <c r="C37" s="21" t="s">
        <v>397</v>
      </c>
      <c r="D37" s="43" t="s">
        <v>333</v>
      </c>
      <c r="E37" s="44" t="s">
        <v>334</v>
      </c>
      <c r="F37" s="45"/>
      <c r="G37" s="45"/>
      <c r="H37" s="46" t="s">
        <v>335</v>
      </c>
    </row>
    <row r="38" spans="1:8" ht="15.75" customHeight="1" x14ac:dyDescent="0.3">
      <c r="A38" s="41">
        <v>33</v>
      </c>
      <c r="B38" s="42" t="s">
        <v>398</v>
      </c>
      <c r="C38" s="24" t="s">
        <v>399</v>
      </c>
      <c r="D38" s="43" t="s">
        <v>333</v>
      </c>
      <c r="E38" s="44" t="s">
        <v>334</v>
      </c>
      <c r="F38" s="45"/>
      <c r="G38" s="45"/>
      <c r="H38" s="46" t="s">
        <v>335</v>
      </c>
    </row>
    <row r="39" spans="1:8" ht="15.75" customHeight="1" x14ac:dyDescent="0.3">
      <c r="A39" s="47">
        <v>34</v>
      </c>
      <c r="B39" s="42" t="s">
        <v>400</v>
      </c>
      <c r="C39" s="21" t="s">
        <v>401</v>
      </c>
      <c r="D39" s="43" t="s">
        <v>333</v>
      </c>
      <c r="E39" s="44" t="s">
        <v>334</v>
      </c>
      <c r="F39" s="45"/>
      <c r="G39" s="45"/>
      <c r="H39" s="46" t="s">
        <v>335</v>
      </c>
    </row>
    <row r="40" spans="1:8" ht="15.75" customHeight="1" x14ac:dyDescent="0.3">
      <c r="A40" s="41">
        <v>35</v>
      </c>
      <c r="B40" s="42" t="s">
        <v>402</v>
      </c>
      <c r="C40" s="24" t="s">
        <v>403</v>
      </c>
      <c r="D40" s="43" t="s">
        <v>333</v>
      </c>
      <c r="E40" s="44" t="s">
        <v>334</v>
      </c>
      <c r="F40" s="45"/>
      <c r="G40" s="45"/>
      <c r="H40" s="46" t="s">
        <v>335</v>
      </c>
    </row>
    <row r="41" spans="1:8" ht="15.75" customHeight="1" x14ac:dyDescent="0.3">
      <c r="A41" s="47">
        <v>36</v>
      </c>
      <c r="B41" s="42" t="s">
        <v>404</v>
      </c>
      <c r="C41" s="21" t="s">
        <v>405</v>
      </c>
      <c r="D41" s="43" t="s">
        <v>333</v>
      </c>
      <c r="E41" s="44" t="s">
        <v>334</v>
      </c>
      <c r="F41" s="45"/>
      <c r="G41" s="45"/>
      <c r="H41" s="46" t="s">
        <v>335</v>
      </c>
    </row>
    <row r="42" spans="1:8" ht="15.75" customHeight="1" x14ac:dyDescent="0.3">
      <c r="A42" s="41">
        <v>37</v>
      </c>
      <c r="B42" s="42" t="s">
        <v>406</v>
      </c>
      <c r="C42" s="24" t="s">
        <v>407</v>
      </c>
      <c r="D42" s="43" t="s">
        <v>333</v>
      </c>
      <c r="E42" s="44" t="s">
        <v>334</v>
      </c>
      <c r="F42" s="45"/>
      <c r="G42" s="45"/>
      <c r="H42" s="46" t="s">
        <v>335</v>
      </c>
    </row>
    <row r="43" spans="1:8" ht="15.75" customHeight="1" x14ac:dyDescent="0.3">
      <c r="A43" s="47">
        <v>38</v>
      </c>
      <c r="B43" s="48" t="s">
        <v>408</v>
      </c>
      <c r="C43" s="21" t="s">
        <v>409</v>
      </c>
      <c r="D43" s="49" t="s">
        <v>170</v>
      </c>
      <c r="E43" s="44" t="s">
        <v>334</v>
      </c>
      <c r="F43" s="45"/>
      <c r="G43" s="45"/>
      <c r="H43" s="46" t="s">
        <v>335</v>
      </c>
    </row>
    <row r="44" spans="1:8" ht="15.75" customHeight="1" x14ac:dyDescent="0.3">
      <c r="A44" s="41">
        <v>39</v>
      </c>
      <c r="B44" s="48" t="s">
        <v>410</v>
      </c>
      <c r="C44" s="24" t="s">
        <v>411</v>
      </c>
      <c r="D44" s="49" t="s">
        <v>170</v>
      </c>
      <c r="E44" s="44" t="s">
        <v>334</v>
      </c>
      <c r="F44" s="45"/>
      <c r="G44" s="45"/>
      <c r="H44" s="46" t="s">
        <v>335</v>
      </c>
    </row>
    <row r="45" spans="1:8" ht="15.75" customHeight="1" x14ac:dyDescent="0.3">
      <c r="A45" s="47">
        <v>40</v>
      </c>
      <c r="B45" s="48" t="s">
        <v>412</v>
      </c>
      <c r="C45" s="21" t="s">
        <v>413</v>
      </c>
      <c r="D45" s="49" t="s">
        <v>170</v>
      </c>
      <c r="E45" s="44" t="s">
        <v>334</v>
      </c>
      <c r="F45" s="45"/>
      <c r="G45" s="45"/>
      <c r="H45" s="46" t="s">
        <v>335</v>
      </c>
    </row>
    <row r="46" spans="1:8" ht="15.75" customHeight="1" x14ac:dyDescent="0.3">
      <c r="A46" s="41">
        <v>41</v>
      </c>
      <c r="B46" s="48" t="s">
        <v>414</v>
      </c>
      <c r="C46" s="24" t="s">
        <v>415</v>
      </c>
      <c r="D46" s="49" t="s">
        <v>170</v>
      </c>
      <c r="E46" s="44" t="s">
        <v>334</v>
      </c>
      <c r="F46" s="45"/>
      <c r="G46" s="45"/>
      <c r="H46" s="46" t="s">
        <v>335</v>
      </c>
    </row>
    <row r="47" spans="1:8" ht="15.75" customHeight="1" x14ac:dyDescent="0.3">
      <c r="A47" s="47">
        <v>42</v>
      </c>
      <c r="B47" s="48" t="s">
        <v>416</v>
      </c>
      <c r="C47" s="21" t="s">
        <v>417</v>
      </c>
      <c r="D47" s="49" t="s">
        <v>170</v>
      </c>
      <c r="E47" s="44" t="s">
        <v>334</v>
      </c>
      <c r="F47" s="45"/>
      <c r="G47" s="45"/>
      <c r="H47" s="46" t="s">
        <v>335</v>
      </c>
    </row>
    <row r="48" spans="1:8" ht="15.75" customHeight="1" x14ac:dyDescent="0.3">
      <c r="A48" s="41">
        <v>43</v>
      </c>
      <c r="B48" s="48" t="s">
        <v>418</v>
      </c>
      <c r="C48" s="24" t="s">
        <v>419</v>
      </c>
      <c r="D48" s="49" t="s">
        <v>170</v>
      </c>
      <c r="E48" s="44" t="s">
        <v>334</v>
      </c>
      <c r="F48" s="45"/>
      <c r="G48" s="45"/>
      <c r="H48" s="46" t="s">
        <v>335</v>
      </c>
    </row>
    <row r="49" spans="1:8" ht="15.75" customHeight="1" x14ac:dyDescent="0.3">
      <c r="A49" s="47">
        <v>44</v>
      </c>
      <c r="B49" s="48" t="s">
        <v>420</v>
      </c>
      <c r="C49" s="21" t="s">
        <v>421</v>
      </c>
      <c r="D49" s="49" t="s">
        <v>170</v>
      </c>
      <c r="E49" s="44" t="s">
        <v>334</v>
      </c>
      <c r="F49" s="45"/>
      <c r="G49" s="45"/>
      <c r="H49" s="46" t="s">
        <v>335</v>
      </c>
    </row>
    <row r="50" spans="1:8" ht="15.75" customHeight="1" x14ac:dyDescent="0.3">
      <c r="A50" s="41">
        <v>45</v>
      </c>
      <c r="B50" s="48" t="s">
        <v>422</v>
      </c>
      <c r="C50" s="24" t="s">
        <v>423</v>
      </c>
      <c r="D50" s="49" t="s">
        <v>170</v>
      </c>
      <c r="E50" s="44" t="s">
        <v>334</v>
      </c>
      <c r="F50" s="45"/>
      <c r="G50" s="45"/>
      <c r="H50" s="46" t="s">
        <v>335</v>
      </c>
    </row>
    <row r="51" spans="1:8" ht="15.75" customHeight="1" x14ac:dyDescent="0.3">
      <c r="A51" s="47">
        <v>46</v>
      </c>
      <c r="B51" s="50" t="s">
        <v>424</v>
      </c>
      <c r="C51" s="21" t="s">
        <v>425</v>
      </c>
      <c r="D51" s="51" t="s">
        <v>426</v>
      </c>
      <c r="E51" s="44" t="s">
        <v>334</v>
      </c>
      <c r="F51" s="45"/>
      <c r="G51" s="45"/>
      <c r="H51" s="46" t="s">
        <v>335</v>
      </c>
    </row>
    <row r="52" spans="1:8" ht="15.75" customHeight="1" x14ac:dyDescent="0.3">
      <c r="A52" s="41">
        <v>47</v>
      </c>
      <c r="B52" s="50" t="s">
        <v>427</v>
      </c>
      <c r="C52" s="24" t="s">
        <v>428</v>
      </c>
      <c r="D52" s="51" t="s">
        <v>426</v>
      </c>
      <c r="E52" s="44" t="s">
        <v>334</v>
      </c>
      <c r="F52" s="45"/>
      <c r="G52" s="45"/>
      <c r="H52" s="46" t="s">
        <v>335</v>
      </c>
    </row>
    <row r="53" spans="1:8" ht="15.75" customHeight="1" x14ac:dyDescent="0.3">
      <c r="A53" s="47">
        <v>48</v>
      </c>
      <c r="B53" s="50" t="s">
        <v>429</v>
      </c>
      <c r="C53" s="21" t="s">
        <v>430</v>
      </c>
      <c r="D53" s="51" t="s">
        <v>426</v>
      </c>
      <c r="E53" s="44" t="s">
        <v>334</v>
      </c>
      <c r="F53" s="45"/>
      <c r="G53" s="45"/>
      <c r="H53" s="46" t="s">
        <v>335</v>
      </c>
    </row>
    <row r="54" spans="1:8" ht="15.75" customHeight="1" x14ac:dyDescent="0.3">
      <c r="A54" s="41">
        <v>49</v>
      </c>
      <c r="B54" s="50" t="s">
        <v>431</v>
      </c>
      <c r="C54" s="24" t="s">
        <v>432</v>
      </c>
      <c r="D54" s="51" t="s">
        <v>426</v>
      </c>
      <c r="E54" s="44" t="s">
        <v>334</v>
      </c>
      <c r="F54" s="45"/>
      <c r="G54" s="45"/>
      <c r="H54" s="46" t="s">
        <v>335</v>
      </c>
    </row>
    <row r="55" spans="1:8" ht="15.75" customHeight="1" x14ac:dyDescent="0.3">
      <c r="A55" s="47">
        <v>50</v>
      </c>
      <c r="B55" s="50" t="s">
        <v>433</v>
      </c>
      <c r="C55" s="21" t="s">
        <v>434</v>
      </c>
      <c r="D55" s="51" t="s">
        <v>426</v>
      </c>
      <c r="E55" s="44" t="s">
        <v>334</v>
      </c>
      <c r="F55" s="45"/>
      <c r="G55" s="45"/>
      <c r="H55" s="46" t="s">
        <v>335</v>
      </c>
    </row>
    <row r="56" spans="1:8" ht="15.75" customHeight="1" x14ac:dyDescent="0.3">
      <c r="A56" s="41">
        <v>51</v>
      </c>
      <c r="B56" s="50" t="s">
        <v>435</v>
      </c>
      <c r="C56" s="24" t="s">
        <v>436</v>
      </c>
      <c r="D56" s="51" t="s">
        <v>426</v>
      </c>
      <c r="E56" s="44" t="s">
        <v>334</v>
      </c>
      <c r="F56" s="45"/>
      <c r="G56" s="45"/>
      <c r="H56" s="46" t="s">
        <v>335</v>
      </c>
    </row>
    <row r="57" spans="1:8" ht="15.75" customHeight="1" x14ac:dyDescent="0.3">
      <c r="A57" s="47">
        <v>52</v>
      </c>
      <c r="B57" s="50" t="s">
        <v>437</v>
      </c>
      <c r="C57" s="21" t="s">
        <v>438</v>
      </c>
      <c r="D57" s="51" t="s">
        <v>426</v>
      </c>
      <c r="E57" s="44" t="s">
        <v>334</v>
      </c>
      <c r="F57" s="45"/>
      <c r="G57" s="45"/>
      <c r="H57" s="46" t="s">
        <v>335</v>
      </c>
    </row>
    <row r="58" spans="1:8" ht="15.75" customHeight="1" x14ac:dyDescent="0.3">
      <c r="A58" s="41">
        <v>53</v>
      </c>
      <c r="B58" s="50" t="s">
        <v>439</v>
      </c>
      <c r="C58" s="24" t="s">
        <v>440</v>
      </c>
      <c r="D58" s="51" t="s">
        <v>426</v>
      </c>
      <c r="E58" s="44" t="s">
        <v>334</v>
      </c>
      <c r="F58" s="45"/>
      <c r="G58" s="45"/>
      <c r="H58" s="46" t="s">
        <v>335</v>
      </c>
    </row>
    <row r="59" spans="1:8" ht="15.75" customHeight="1" x14ac:dyDescent="0.3">
      <c r="A59" s="47">
        <v>54</v>
      </c>
      <c r="B59" s="50" t="s">
        <v>441</v>
      </c>
      <c r="C59" s="21" t="s">
        <v>442</v>
      </c>
      <c r="D59" s="51" t="s">
        <v>426</v>
      </c>
      <c r="E59" s="44" t="s">
        <v>334</v>
      </c>
      <c r="F59" s="45"/>
      <c r="G59" s="45"/>
      <c r="H59" s="46" t="s">
        <v>335</v>
      </c>
    </row>
    <row r="60" spans="1:8" ht="15.75" customHeight="1" x14ac:dyDescent="0.3">
      <c r="A60" s="41">
        <v>55</v>
      </c>
      <c r="B60" s="50" t="s">
        <v>443</v>
      </c>
      <c r="C60" s="24" t="s">
        <v>444</v>
      </c>
      <c r="D60" s="51" t="s">
        <v>426</v>
      </c>
      <c r="E60" s="44" t="s">
        <v>334</v>
      </c>
      <c r="F60" s="45"/>
      <c r="G60" s="45"/>
      <c r="H60" s="46" t="s">
        <v>335</v>
      </c>
    </row>
    <row r="61" spans="1:8" ht="15.75" customHeight="1" x14ac:dyDescent="0.3">
      <c r="A61" s="47">
        <v>56</v>
      </c>
      <c r="B61" s="50" t="s">
        <v>445</v>
      </c>
      <c r="C61" s="21" t="s">
        <v>446</v>
      </c>
      <c r="D61" s="51" t="s">
        <v>426</v>
      </c>
      <c r="E61" s="44" t="s">
        <v>334</v>
      </c>
      <c r="F61" s="45"/>
      <c r="G61" s="45"/>
      <c r="H61" s="46" t="s">
        <v>335</v>
      </c>
    </row>
    <row r="62" spans="1:8" ht="15.75" customHeight="1" x14ac:dyDescent="0.3">
      <c r="A62" s="41">
        <v>57</v>
      </c>
      <c r="B62" s="50" t="s">
        <v>447</v>
      </c>
      <c r="C62" s="24" t="s">
        <v>448</v>
      </c>
      <c r="D62" s="51" t="s">
        <v>426</v>
      </c>
      <c r="E62" s="44" t="s">
        <v>334</v>
      </c>
      <c r="F62" s="45"/>
      <c r="G62" s="45"/>
      <c r="H62" s="46" t="s">
        <v>335</v>
      </c>
    </row>
    <row r="63" spans="1:8" ht="15.75" customHeight="1" x14ac:dyDescent="0.3">
      <c r="A63" s="47">
        <v>58</v>
      </c>
      <c r="B63" s="50" t="s">
        <v>449</v>
      </c>
      <c r="C63" s="21" t="s">
        <v>450</v>
      </c>
      <c r="D63" s="51" t="s">
        <v>426</v>
      </c>
      <c r="E63" s="44" t="s">
        <v>334</v>
      </c>
      <c r="F63" s="45"/>
      <c r="G63" s="45"/>
      <c r="H63" s="46" t="s">
        <v>335</v>
      </c>
    </row>
    <row r="64" spans="1:8" ht="15.75" customHeight="1" x14ac:dyDescent="0.3">
      <c r="A64" s="41">
        <v>59</v>
      </c>
      <c r="B64" s="50" t="s">
        <v>451</v>
      </c>
      <c r="C64" s="24" t="s">
        <v>452</v>
      </c>
      <c r="D64" s="51" t="s">
        <v>426</v>
      </c>
      <c r="E64" s="44" t="s">
        <v>334</v>
      </c>
      <c r="F64" s="45"/>
      <c r="G64" s="45"/>
      <c r="H64" s="46" t="s">
        <v>335</v>
      </c>
    </row>
    <row r="65" spans="1:8" ht="15.75" customHeight="1" x14ac:dyDescent="0.3">
      <c r="A65" s="47">
        <v>60</v>
      </c>
      <c r="B65" s="52" t="s">
        <v>453</v>
      </c>
      <c r="C65" s="21" t="s">
        <v>454</v>
      </c>
      <c r="D65" s="53" t="s">
        <v>455</v>
      </c>
      <c r="E65" s="44" t="s">
        <v>334</v>
      </c>
      <c r="F65" s="45"/>
      <c r="G65" s="45"/>
      <c r="H65" s="46" t="s">
        <v>335</v>
      </c>
    </row>
    <row r="66" spans="1:8" ht="15.75" customHeight="1" x14ac:dyDescent="0.3">
      <c r="A66" s="41">
        <v>61</v>
      </c>
      <c r="B66" s="52" t="s">
        <v>456</v>
      </c>
      <c r="C66" s="24" t="s">
        <v>457</v>
      </c>
      <c r="D66" s="53" t="s">
        <v>455</v>
      </c>
      <c r="E66" s="44" t="s">
        <v>334</v>
      </c>
      <c r="F66" s="45"/>
      <c r="G66" s="45"/>
      <c r="H66" s="46" t="s">
        <v>335</v>
      </c>
    </row>
    <row r="67" spans="1:8" ht="15.75" customHeight="1" x14ac:dyDescent="0.3">
      <c r="A67" s="47">
        <v>62</v>
      </c>
      <c r="B67" s="52" t="s">
        <v>458</v>
      </c>
      <c r="C67" s="21" t="s">
        <v>459</v>
      </c>
      <c r="D67" s="53" t="s">
        <v>455</v>
      </c>
      <c r="E67" s="44" t="s">
        <v>334</v>
      </c>
      <c r="F67" s="45"/>
      <c r="G67" s="45"/>
      <c r="H67" s="46" t="s">
        <v>335</v>
      </c>
    </row>
    <row r="68" spans="1:8" ht="15.75" customHeight="1" x14ac:dyDescent="0.3">
      <c r="A68" s="41">
        <v>63</v>
      </c>
      <c r="B68" s="52" t="s">
        <v>460</v>
      </c>
      <c r="C68" s="24" t="s">
        <v>461</v>
      </c>
      <c r="D68" s="53" t="s">
        <v>455</v>
      </c>
      <c r="E68" s="44" t="s">
        <v>334</v>
      </c>
      <c r="F68" s="45"/>
      <c r="G68" s="45"/>
      <c r="H68" s="46" t="s">
        <v>335</v>
      </c>
    </row>
    <row r="69" spans="1:8" ht="15.75" customHeight="1" x14ac:dyDescent="0.3">
      <c r="A69" s="47">
        <v>64</v>
      </c>
      <c r="B69" s="52" t="s">
        <v>462</v>
      </c>
      <c r="C69" s="21" t="s">
        <v>463</v>
      </c>
      <c r="D69" s="53" t="s">
        <v>455</v>
      </c>
      <c r="E69" s="44" t="s">
        <v>334</v>
      </c>
      <c r="F69" s="45"/>
      <c r="G69" s="45"/>
      <c r="H69" s="46" t="s">
        <v>335</v>
      </c>
    </row>
    <row r="70" spans="1:8" ht="15.75" customHeight="1" x14ac:dyDescent="0.3">
      <c r="A70" s="41">
        <v>65</v>
      </c>
      <c r="B70" s="52" t="s">
        <v>464</v>
      </c>
      <c r="C70" s="24" t="s">
        <v>465</v>
      </c>
      <c r="D70" s="53" t="s">
        <v>455</v>
      </c>
      <c r="E70" s="44" t="s">
        <v>334</v>
      </c>
      <c r="F70" s="45"/>
      <c r="G70" s="45"/>
      <c r="H70" s="46" t="s">
        <v>335</v>
      </c>
    </row>
    <row r="71" spans="1:8" ht="15.75" customHeight="1" x14ac:dyDescent="0.3">
      <c r="A71" s="47">
        <v>66</v>
      </c>
      <c r="B71" s="52" t="s">
        <v>466</v>
      </c>
      <c r="C71" s="21" t="s">
        <v>467</v>
      </c>
      <c r="D71" s="53" t="s">
        <v>455</v>
      </c>
      <c r="E71" s="44" t="s">
        <v>334</v>
      </c>
      <c r="F71" s="45"/>
      <c r="G71" s="45"/>
      <c r="H71" s="46" t="s">
        <v>335</v>
      </c>
    </row>
    <row r="72" spans="1:8" ht="15.75" customHeight="1" x14ac:dyDescent="0.3">
      <c r="A72" s="41">
        <v>67</v>
      </c>
      <c r="B72" s="52" t="s">
        <v>468</v>
      </c>
      <c r="C72" s="24" t="s">
        <v>469</v>
      </c>
      <c r="D72" s="53" t="s">
        <v>455</v>
      </c>
      <c r="E72" s="44" t="s">
        <v>334</v>
      </c>
      <c r="F72" s="45"/>
      <c r="G72" s="45"/>
      <c r="H72" s="46" t="s">
        <v>335</v>
      </c>
    </row>
    <row r="73" spans="1:8" ht="15.75" customHeight="1" x14ac:dyDescent="0.3">
      <c r="A73" s="47">
        <v>68</v>
      </c>
      <c r="B73" s="52" t="s">
        <v>470</v>
      </c>
      <c r="C73" s="21" t="s">
        <v>471</v>
      </c>
      <c r="D73" s="53" t="s">
        <v>455</v>
      </c>
      <c r="E73" s="44" t="s">
        <v>334</v>
      </c>
      <c r="F73" s="45"/>
      <c r="G73" s="45"/>
      <c r="H73" s="46" t="s">
        <v>335</v>
      </c>
    </row>
    <row r="74" spans="1:8" ht="15.75" customHeight="1" x14ac:dyDescent="0.3">
      <c r="A74" s="41">
        <v>69</v>
      </c>
      <c r="B74" s="52" t="s">
        <v>472</v>
      </c>
      <c r="C74" s="24" t="s">
        <v>473</v>
      </c>
      <c r="D74" s="53" t="s">
        <v>455</v>
      </c>
      <c r="E74" s="44" t="s">
        <v>334</v>
      </c>
      <c r="F74" s="45"/>
      <c r="G74" s="45"/>
      <c r="H74" s="46" t="s">
        <v>335</v>
      </c>
    </row>
    <row r="75" spans="1:8" ht="15.75" customHeight="1" x14ac:dyDescent="0.3">
      <c r="A75" s="47">
        <v>70</v>
      </c>
      <c r="B75" s="52" t="s">
        <v>474</v>
      </c>
      <c r="C75" s="21" t="s">
        <v>475</v>
      </c>
      <c r="D75" s="53" t="s">
        <v>455</v>
      </c>
      <c r="E75" s="44" t="s">
        <v>334</v>
      </c>
      <c r="F75" s="45"/>
      <c r="G75" s="45"/>
      <c r="H75" s="46" t="s">
        <v>335</v>
      </c>
    </row>
    <row r="76" spans="1:8" ht="15.75" customHeight="1" x14ac:dyDescent="0.3">
      <c r="A76" s="41">
        <v>71</v>
      </c>
      <c r="B76" s="52" t="s">
        <v>476</v>
      </c>
      <c r="C76" s="24" t="s">
        <v>477</v>
      </c>
      <c r="D76" s="53" t="s">
        <v>455</v>
      </c>
      <c r="E76" s="44" t="s">
        <v>334</v>
      </c>
      <c r="F76" s="45"/>
      <c r="G76" s="45"/>
      <c r="H76" s="46" t="s">
        <v>335</v>
      </c>
    </row>
    <row r="77" spans="1:8" ht="15.75" customHeight="1" x14ac:dyDescent="0.3">
      <c r="A77" s="47">
        <v>72</v>
      </c>
      <c r="B77" s="52" t="s">
        <v>478</v>
      </c>
      <c r="C77" s="21" t="s">
        <v>479</v>
      </c>
      <c r="D77" s="53" t="s">
        <v>455</v>
      </c>
      <c r="E77" s="44" t="s">
        <v>334</v>
      </c>
      <c r="F77" s="45"/>
      <c r="G77" s="45"/>
      <c r="H77" s="46" t="s">
        <v>335</v>
      </c>
    </row>
    <row r="78" spans="1:8" ht="15.75" customHeight="1" x14ac:dyDescent="0.3">
      <c r="A78" s="41">
        <v>73</v>
      </c>
      <c r="B78" s="52" t="s">
        <v>480</v>
      </c>
      <c r="C78" s="24" t="s">
        <v>481</v>
      </c>
      <c r="D78" s="53" t="s">
        <v>455</v>
      </c>
      <c r="E78" s="44" t="s">
        <v>334</v>
      </c>
      <c r="F78" s="45"/>
      <c r="G78" s="45"/>
      <c r="H78" s="46" t="s">
        <v>335</v>
      </c>
    </row>
    <row r="79" spans="1:8" ht="15.75" customHeight="1" x14ac:dyDescent="0.3">
      <c r="A79" s="47">
        <v>74</v>
      </c>
      <c r="B79" s="52" t="s">
        <v>482</v>
      </c>
      <c r="C79" s="21" t="s">
        <v>483</v>
      </c>
      <c r="D79" s="53" t="s">
        <v>455</v>
      </c>
      <c r="E79" s="44" t="s">
        <v>334</v>
      </c>
      <c r="F79" s="45"/>
      <c r="G79" s="45"/>
      <c r="H79" s="46" t="s">
        <v>335</v>
      </c>
    </row>
    <row r="80" spans="1:8" ht="15.75" customHeight="1" x14ac:dyDescent="0.3">
      <c r="A80" s="41">
        <v>75</v>
      </c>
      <c r="B80" s="52" t="s">
        <v>484</v>
      </c>
      <c r="C80" s="24" t="s">
        <v>485</v>
      </c>
      <c r="D80" s="53" t="s">
        <v>455</v>
      </c>
      <c r="E80" s="44" t="s">
        <v>334</v>
      </c>
      <c r="F80" s="45"/>
      <c r="G80" s="45"/>
      <c r="H80" s="46" t="s">
        <v>335</v>
      </c>
    </row>
    <row r="81" spans="1:8" ht="15.75" customHeight="1" x14ac:dyDescent="0.3">
      <c r="A81" s="47">
        <v>76</v>
      </c>
      <c r="B81" s="52" t="s">
        <v>486</v>
      </c>
      <c r="C81" s="21" t="s">
        <v>487</v>
      </c>
      <c r="D81" s="53" t="s">
        <v>455</v>
      </c>
      <c r="E81" s="44" t="s">
        <v>334</v>
      </c>
      <c r="F81" s="45"/>
      <c r="G81" s="45"/>
      <c r="H81" s="46" t="s">
        <v>335</v>
      </c>
    </row>
    <row r="82" spans="1:8" ht="15.75" customHeight="1" x14ac:dyDescent="0.3">
      <c r="A82" s="41">
        <v>77</v>
      </c>
      <c r="B82" s="52" t="s">
        <v>488</v>
      </c>
      <c r="C82" s="24" t="s">
        <v>489</v>
      </c>
      <c r="D82" s="53" t="s">
        <v>455</v>
      </c>
      <c r="E82" s="44" t="s">
        <v>334</v>
      </c>
      <c r="F82" s="45"/>
      <c r="G82" s="45"/>
      <c r="H82" s="46" t="s">
        <v>335</v>
      </c>
    </row>
    <row r="83" spans="1:8" ht="15.75" customHeight="1" x14ac:dyDescent="0.3">
      <c r="A83" s="47">
        <v>78</v>
      </c>
      <c r="B83" s="52" t="s">
        <v>490</v>
      </c>
      <c r="C83" s="21" t="s">
        <v>491</v>
      </c>
      <c r="D83" s="53" t="s">
        <v>455</v>
      </c>
      <c r="E83" s="44" t="s">
        <v>334</v>
      </c>
      <c r="F83" s="45"/>
      <c r="G83" s="45"/>
      <c r="H83" s="46" t="s">
        <v>335</v>
      </c>
    </row>
    <row r="84" spans="1:8" ht="15.75" customHeight="1" x14ac:dyDescent="0.3">
      <c r="A84" s="41">
        <v>79</v>
      </c>
      <c r="B84" s="52" t="s">
        <v>492</v>
      </c>
      <c r="C84" s="24" t="s">
        <v>493</v>
      </c>
      <c r="D84" s="53" t="s">
        <v>455</v>
      </c>
      <c r="E84" s="44" t="s">
        <v>334</v>
      </c>
      <c r="F84" s="45"/>
      <c r="G84" s="45"/>
      <c r="H84" s="46" t="s">
        <v>335</v>
      </c>
    </row>
    <row r="85" spans="1:8" ht="15.75" customHeight="1" x14ac:dyDescent="0.3">
      <c r="A85" s="47">
        <v>80</v>
      </c>
      <c r="B85" s="52" t="s">
        <v>494</v>
      </c>
      <c r="C85" s="21" t="s">
        <v>495</v>
      </c>
      <c r="D85" s="53" t="s">
        <v>455</v>
      </c>
      <c r="E85" s="44" t="s">
        <v>334</v>
      </c>
      <c r="F85" s="45"/>
      <c r="G85" s="45"/>
      <c r="H85" s="46" t="s">
        <v>335</v>
      </c>
    </row>
    <row r="86" spans="1:8" ht="15.75" customHeight="1" x14ac:dyDescent="0.3">
      <c r="A86" s="41">
        <v>81</v>
      </c>
      <c r="B86" s="52" t="s">
        <v>496</v>
      </c>
      <c r="C86" s="24" t="s">
        <v>497</v>
      </c>
      <c r="D86" s="53" t="s">
        <v>455</v>
      </c>
      <c r="E86" s="44" t="s">
        <v>334</v>
      </c>
      <c r="F86" s="45"/>
      <c r="G86" s="45"/>
      <c r="H86" s="46" t="s">
        <v>335</v>
      </c>
    </row>
    <row r="87" spans="1:8" ht="15.75" customHeight="1" x14ac:dyDescent="0.3">
      <c r="A87" s="47">
        <v>82</v>
      </c>
      <c r="B87" s="52" t="s">
        <v>498</v>
      </c>
      <c r="C87" s="21" t="s">
        <v>499</v>
      </c>
      <c r="D87" s="53" t="s">
        <v>455</v>
      </c>
      <c r="E87" s="44" t="s">
        <v>334</v>
      </c>
      <c r="F87" s="45"/>
      <c r="G87" s="45"/>
      <c r="H87" s="46" t="s">
        <v>335</v>
      </c>
    </row>
    <row r="88" spans="1:8" ht="15.75" customHeight="1" x14ac:dyDescent="0.3">
      <c r="A88" s="41">
        <v>83</v>
      </c>
      <c r="B88" s="52" t="s">
        <v>500</v>
      </c>
      <c r="C88" s="24" t="s">
        <v>501</v>
      </c>
      <c r="D88" s="53" t="s">
        <v>455</v>
      </c>
      <c r="E88" s="44" t="s">
        <v>334</v>
      </c>
      <c r="F88" s="45"/>
      <c r="G88" s="45"/>
      <c r="H88" s="46" t="s">
        <v>335</v>
      </c>
    </row>
    <row r="89" spans="1:8" ht="15.75" customHeight="1" x14ac:dyDescent="0.3">
      <c r="A89" s="47">
        <v>84</v>
      </c>
      <c r="B89" s="52" t="s">
        <v>502</v>
      </c>
      <c r="C89" s="21" t="s">
        <v>503</v>
      </c>
      <c r="D89" s="53" t="s">
        <v>455</v>
      </c>
      <c r="E89" s="44" t="s">
        <v>334</v>
      </c>
      <c r="F89" s="45"/>
      <c r="G89" s="45"/>
      <c r="H89" s="46" t="s">
        <v>335</v>
      </c>
    </row>
    <row r="90" spans="1:8" ht="15.75" customHeight="1" x14ac:dyDescent="0.3">
      <c r="A90" s="41">
        <v>85</v>
      </c>
      <c r="B90" s="52" t="s">
        <v>504</v>
      </c>
      <c r="C90" s="24" t="s">
        <v>505</v>
      </c>
      <c r="D90" s="53" t="s">
        <v>455</v>
      </c>
      <c r="E90" s="44" t="s">
        <v>334</v>
      </c>
      <c r="F90" s="45"/>
      <c r="G90" s="45"/>
      <c r="H90" s="46" t="s">
        <v>335</v>
      </c>
    </row>
    <row r="91" spans="1:8" ht="15.75" customHeight="1" x14ac:dyDescent="0.3">
      <c r="A91" s="47">
        <v>86</v>
      </c>
      <c r="B91" s="52" t="s">
        <v>506</v>
      </c>
      <c r="C91" s="21" t="s">
        <v>507</v>
      </c>
      <c r="D91" s="53" t="s">
        <v>455</v>
      </c>
      <c r="E91" s="44" t="s">
        <v>334</v>
      </c>
      <c r="F91" s="45"/>
      <c r="G91" s="45"/>
      <c r="H91" s="46" t="s">
        <v>335</v>
      </c>
    </row>
    <row r="92" spans="1:8" ht="15.75" customHeight="1" x14ac:dyDescent="0.3">
      <c r="A92" s="41">
        <v>87</v>
      </c>
      <c r="B92" s="52" t="s">
        <v>508</v>
      </c>
      <c r="C92" s="24" t="s">
        <v>509</v>
      </c>
      <c r="D92" s="53" t="s">
        <v>455</v>
      </c>
      <c r="E92" s="44" t="s">
        <v>334</v>
      </c>
      <c r="F92" s="45"/>
      <c r="G92" s="45"/>
      <c r="H92" s="46" t="s">
        <v>335</v>
      </c>
    </row>
    <row r="93" spans="1:8" ht="15.75" customHeight="1" x14ac:dyDescent="0.3">
      <c r="A93" s="47">
        <v>88</v>
      </c>
      <c r="B93" s="52" t="s">
        <v>510</v>
      </c>
      <c r="C93" s="21" t="s">
        <v>511</v>
      </c>
      <c r="D93" s="53" t="s">
        <v>455</v>
      </c>
      <c r="E93" s="44" t="s">
        <v>334</v>
      </c>
      <c r="F93" s="45"/>
      <c r="G93" s="45"/>
      <c r="H93" s="46" t="s">
        <v>335</v>
      </c>
    </row>
    <row r="94" spans="1:8" ht="15.75" customHeight="1" x14ac:dyDescent="0.3">
      <c r="A94" s="41">
        <v>89</v>
      </c>
      <c r="B94" s="52" t="s">
        <v>512</v>
      </c>
      <c r="C94" s="24" t="s">
        <v>513</v>
      </c>
      <c r="D94" s="53" t="s">
        <v>455</v>
      </c>
      <c r="E94" s="44" t="s">
        <v>334</v>
      </c>
      <c r="F94" s="45"/>
      <c r="G94" s="45"/>
      <c r="H94" s="46" t="s">
        <v>335</v>
      </c>
    </row>
    <row r="95" spans="1:8" ht="15.75" customHeight="1" x14ac:dyDescent="0.3">
      <c r="A95" s="47">
        <v>90</v>
      </c>
      <c r="B95" s="52" t="s">
        <v>514</v>
      </c>
      <c r="C95" s="21" t="s">
        <v>515</v>
      </c>
      <c r="D95" s="53" t="s">
        <v>455</v>
      </c>
      <c r="E95" s="44" t="s">
        <v>334</v>
      </c>
      <c r="F95" s="45"/>
      <c r="G95" s="45"/>
      <c r="H95" s="46" t="s">
        <v>335</v>
      </c>
    </row>
    <row r="96" spans="1:8" ht="15.75" customHeight="1" x14ac:dyDescent="0.3">
      <c r="A96" s="41">
        <v>91</v>
      </c>
      <c r="B96" s="52" t="s">
        <v>516</v>
      </c>
      <c r="C96" s="24" t="s">
        <v>517</v>
      </c>
      <c r="D96" s="53" t="s">
        <v>455</v>
      </c>
      <c r="E96" s="44" t="s">
        <v>334</v>
      </c>
      <c r="F96" s="45"/>
      <c r="G96" s="45"/>
      <c r="H96" s="46" t="s">
        <v>335</v>
      </c>
    </row>
    <row r="97" spans="1:8" ht="15.75" customHeight="1" x14ac:dyDescent="0.3">
      <c r="A97" s="47">
        <v>92</v>
      </c>
      <c r="B97" s="52" t="s">
        <v>518</v>
      </c>
      <c r="C97" s="21" t="s">
        <v>519</v>
      </c>
      <c r="D97" s="53" t="s">
        <v>455</v>
      </c>
      <c r="E97" s="44" t="s">
        <v>334</v>
      </c>
      <c r="F97" s="45"/>
      <c r="G97" s="45"/>
      <c r="H97" s="46" t="s">
        <v>335</v>
      </c>
    </row>
    <row r="98" spans="1:8" ht="15.75" customHeight="1" x14ac:dyDescent="0.3">
      <c r="A98" s="41">
        <v>93</v>
      </c>
      <c r="B98" s="52" t="s">
        <v>520</v>
      </c>
      <c r="C98" s="24" t="s">
        <v>521</v>
      </c>
      <c r="D98" s="53" t="s">
        <v>455</v>
      </c>
      <c r="E98" s="44" t="s">
        <v>334</v>
      </c>
      <c r="F98" s="45"/>
      <c r="G98" s="45"/>
      <c r="H98" s="46" t="s">
        <v>335</v>
      </c>
    </row>
    <row r="99" spans="1:8" ht="21.75" customHeight="1" x14ac:dyDescent="0.3">
      <c r="B99" s="10" t="s">
        <v>522</v>
      </c>
      <c r="C99" s="10"/>
      <c r="D99" s="10"/>
      <c r="E99" s="10"/>
      <c r="F99" s="10"/>
      <c r="G99" s="10"/>
      <c r="H99" s="10"/>
    </row>
  </sheetData>
  <mergeCells count="3">
    <mergeCell ref="A1:H1"/>
    <mergeCell ref="A2:H2"/>
    <mergeCell ref="B99:H99"/>
  </mergeCells>
  <conditionalFormatting sqref="E6:E98">
    <cfRule type="expression" dxfId="8" priority="2">
      <formula>EXACT(E6,"Si")</formula>
    </cfRule>
    <cfRule type="expression" dxfId="7" priority="3">
      <formula>EXACT(E6,"Parcial")</formula>
    </cfRule>
    <cfRule type="expression" dxfId="6" priority="4">
      <formula>EXACT(E6,"No")</formula>
    </cfRule>
    <cfRule type="expression" dxfId="5" priority="5">
      <formula>EXACT(E6,"N/A")</formula>
    </cfRule>
  </conditionalFormatting>
  <conditionalFormatting sqref="H6:H98">
    <cfRule type="expression" dxfId="4" priority="6">
      <formula>NOT(ISERROR(SEARCH("No implementado",H6)))</formula>
    </cfRule>
    <cfRule type="expression" dxfId="3" priority="7">
      <formula>NOT(ISERROR(SEARCH("En diseño",H6)))</formula>
    </cfRule>
    <cfRule type="expression" dxfId="2" priority="8">
      <formula>NOT(ISERROR(SEARCH("En implementación",H6)))</formula>
    </cfRule>
    <cfRule type="expression" dxfId="1" priority="9">
      <formula>NOT(ISERROR(SEARCH("Implementado",H6)))</formula>
    </cfRule>
    <cfRule type="expression" dxfId="0" priority="10">
      <formula>NOT(ISERROR(SEARCH("Implementado y verificado",H6)))</formula>
    </cfRule>
  </conditionalFormatting>
  <dataValidations count="2">
    <dataValidation type="list" allowBlank="1" sqref="E6:E98" xr:uid="{00000000-0002-0000-0600-000000000000}">
      <formula1>"Si,No,Parcial,N/A"</formula1>
      <formula2>0</formula2>
    </dataValidation>
    <dataValidation type="list" allowBlank="1" sqref="H6:H98" xr:uid="{00000000-0002-0000-0600-000001000000}">
      <formula1>"No implementado,En diseño,En implementación,Implementado,Implementado y verificado"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"/>
  <sheetViews>
    <sheetView showGridLines="0" zoomScaleNormal="100" workbookViewId="0">
      <selection sqref="A1:L1"/>
    </sheetView>
  </sheetViews>
  <sheetFormatPr baseColWidth="10" defaultColWidth="8.6640625" defaultRowHeight="14.4" x14ac:dyDescent="0.3"/>
  <cols>
    <col min="1" max="1" width="3" customWidth="1"/>
    <col min="2" max="12" width="14" customWidth="1"/>
  </cols>
  <sheetData>
    <row r="1" spans="1:13" ht="37.5" customHeight="1" x14ac:dyDescent="0.3">
      <c r="A1" s="14" t="s">
        <v>523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21.75" customHeight="1" x14ac:dyDescent="0.3">
      <c r="A2" s="13" t="s">
        <v>524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18" customHeight="1" x14ac:dyDescent="0.3">
      <c r="A3" s="15" t="s">
        <v>525</v>
      </c>
    </row>
    <row r="5" spans="1:13" ht="27.75" customHeight="1" x14ac:dyDescent="0.3">
      <c r="B5" s="4" t="s">
        <v>526</v>
      </c>
      <c r="C5" s="4"/>
      <c r="D5" s="4"/>
      <c r="E5" s="3" t="s">
        <v>527</v>
      </c>
      <c r="F5" s="3"/>
      <c r="G5" s="3"/>
      <c r="H5" s="2" t="s">
        <v>528</v>
      </c>
      <c r="I5" s="2"/>
      <c r="J5" s="2"/>
      <c r="K5" s="1" t="s">
        <v>529</v>
      </c>
      <c r="L5" s="1"/>
      <c r="M5" s="1"/>
    </row>
    <row r="6" spans="1:13" ht="159.75" customHeight="1" x14ac:dyDescent="0.3">
      <c r="B6" s="78" t="s">
        <v>530</v>
      </c>
      <c r="C6" s="78"/>
      <c r="D6" s="78"/>
      <c r="E6" s="79" t="s">
        <v>531</v>
      </c>
      <c r="F6" s="79"/>
      <c r="G6" s="79"/>
      <c r="H6" s="78" t="s">
        <v>532</v>
      </c>
      <c r="I6" s="78"/>
      <c r="J6" s="78"/>
      <c r="K6" s="79" t="s">
        <v>533</v>
      </c>
      <c r="L6" s="79"/>
      <c r="M6" s="79"/>
    </row>
  </sheetData>
  <mergeCells count="10">
    <mergeCell ref="B6:D6"/>
    <mergeCell ref="E6:G6"/>
    <mergeCell ref="H6:J6"/>
    <mergeCell ref="K6:M6"/>
    <mergeCell ref="A1:L1"/>
    <mergeCell ref="A2:L2"/>
    <mergeCell ref="B5:D5"/>
    <mergeCell ref="E5:G5"/>
    <mergeCell ref="H5:J5"/>
    <mergeCell ref="K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5"/>
  <sheetViews>
    <sheetView showGridLines="0" tabSelected="1" zoomScaleNormal="100" workbookViewId="0">
      <pane xSplit="1" ySplit="3" topLeftCell="B16" activePane="bottomRight" state="frozen"/>
      <selection pane="topRight" activeCell="B1" sqref="B1"/>
      <selection pane="bottomLeft" activeCell="A5" sqref="A5"/>
      <selection pane="bottomRight" activeCell="C12" sqref="C12"/>
    </sheetView>
  </sheetViews>
  <sheetFormatPr baseColWidth="10" defaultColWidth="8.6640625" defaultRowHeight="14.4" x14ac:dyDescent="0.3"/>
  <cols>
    <col min="1" max="1" width="3" customWidth="1"/>
    <col min="2" max="14" width="14" customWidth="1"/>
  </cols>
  <sheetData>
    <row r="1" spans="1:14" ht="37.5" customHeight="1" x14ac:dyDescent="0.3">
      <c r="A1" s="89" t="s">
        <v>534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ht="21.75" customHeight="1" x14ac:dyDescent="0.3">
      <c r="A2" s="90" t="s">
        <v>535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</row>
    <row r="4" spans="1:14" ht="13.5" customHeight="1" x14ac:dyDescent="0.3">
      <c r="B4" s="80"/>
      <c r="C4" s="80"/>
      <c r="D4" s="81"/>
      <c r="E4" s="81"/>
      <c r="F4" s="80"/>
      <c r="G4" s="80"/>
      <c r="H4" s="81"/>
      <c r="I4" s="81"/>
      <c r="J4" s="82"/>
      <c r="K4" s="82"/>
      <c r="L4" s="82"/>
      <c r="M4" s="82"/>
    </row>
    <row r="5" spans="1:14" ht="42" customHeight="1" x14ac:dyDescent="0.3">
      <c r="B5" s="83">
        <f>COUNTA('2-Inventario Activos'!C6:C25)</f>
        <v>20</v>
      </c>
      <c r="C5" s="83"/>
      <c r="D5" s="84">
        <f>COUNTIF('2-Inventario Activos'!J6:J25,"CRITICO")</f>
        <v>14</v>
      </c>
      <c r="E5" s="84"/>
      <c r="F5" s="83">
        <f>COUNTA('4-Matriz Riesgos'!C6:C17)</f>
        <v>12</v>
      </c>
      <c r="G5" s="83"/>
      <c r="H5" s="84">
        <f>COUNTIF('4-Matriz Riesgos'!G6:G17,"&gt;=16")</f>
        <v>2</v>
      </c>
      <c r="I5" s="84"/>
      <c r="J5" s="85">
        <f>COUNTIF('6-SoA Anexo A'!H6:H98,"Implementado y verificado")</f>
        <v>0</v>
      </c>
      <c r="K5" s="85"/>
      <c r="L5" s="85">
        <f>COUNTIF('5-Plan Tratamiento'!H6:H17,"*Completado*")</f>
        <v>1</v>
      </c>
      <c r="M5" s="85"/>
    </row>
    <row r="6" spans="1:14" ht="24" customHeight="1" x14ac:dyDescent="0.3">
      <c r="B6" s="86" t="s">
        <v>536</v>
      </c>
      <c r="C6" s="86"/>
      <c r="D6" s="87" t="s">
        <v>537</v>
      </c>
      <c r="E6" s="87"/>
      <c r="F6" s="86" t="s">
        <v>538</v>
      </c>
      <c r="G6" s="86"/>
      <c r="H6" s="87" t="s">
        <v>539</v>
      </c>
      <c r="I6" s="87"/>
      <c r="J6" s="88" t="s">
        <v>540</v>
      </c>
      <c r="K6" s="88"/>
      <c r="L6" s="88" t="s">
        <v>541</v>
      </c>
      <c r="M6" s="88"/>
    </row>
    <row r="7" spans="1:14" ht="13.5" customHeight="1" x14ac:dyDescent="0.3">
      <c r="B7" s="80"/>
      <c r="C7" s="80"/>
      <c r="D7" s="81"/>
      <c r="E7" s="81"/>
      <c r="F7" s="80"/>
      <c r="G7" s="80"/>
      <c r="H7" s="81"/>
      <c r="I7" s="81"/>
      <c r="J7" s="82"/>
      <c r="K7" s="82"/>
      <c r="L7" s="82"/>
      <c r="M7" s="82"/>
    </row>
    <row r="9" spans="1:14" ht="19.5" customHeight="1" x14ac:dyDescent="0.3">
      <c r="B9" s="9" t="s">
        <v>542</v>
      </c>
      <c r="C9" s="9"/>
      <c r="D9" s="9"/>
      <c r="E9" s="9"/>
      <c r="F9" s="9"/>
      <c r="G9" s="9"/>
    </row>
    <row r="10" spans="1:14" ht="21.75" customHeight="1" x14ac:dyDescent="0.3">
      <c r="B10" s="16" t="s">
        <v>543</v>
      </c>
      <c r="C10" s="16" t="s">
        <v>544</v>
      </c>
      <c r="D10" s="16" t="s">
        <v>545</v>
      </c>
      <c r="E10" s="95" t="s">
        <v>546</v>
      </c>
      <c r="F10" s="96"/>
      <c r="G10" s="96"/>
    </row>
    <row r="11" spans="1:14" ht="19.5" customHeight="1" x14ac:dyDescent="0.3">
      <c r="B11" s="54" t="s">
        <v>547</v>
      </c>
      <c r="C11" s="55">
        <f>COUNTIF('4-Matriz Riesgos'!H6:H17,"CRITICO")</f>
        <v>2</v>
      </c>
      <c r="D11" s="56">
        <f>C11/12</f>
        <v>0.16666666666666666</v>
      </c>
      <c r="E11" s="107" t="str">
        <f>REPT("█",C11*3)</f>
        <v>██████</v>
      </c>
      <c r="F11" s="108"/>
      <c r="G11" s="108"/>
    </row>
    <row r="12" spans="1:14" ht="19.5" customHeight="1" x14ac:dyDescent="0.3">
      <c r="B12" s="57" t="s">
        <v>548</v>
      </c>
      <c r="C12" s="55">
        <f>COUNTIF('4-Matriz Riesgos'!H6:H17,"ALTO")</f>
        <v>3</v>
      </c>
      <c r="D12" s="56">
        <f>C12/12</f>
        <v>0.25</v>
      </c>
      <c r="E12" s="109" t="str">
        <f>REPT("█",C12*3)</f>
        <v>█████████</v>
      </c>
      <c r="F12" s="110"/>
      <c r="G12" s="110"/>
    </row>
    <row r="13" spans="1:14" ht="19.5" customHeight="1" x14ac:dyDescent="0.3">
      <c r="B13" s="58" t="s">
        <v>549</v>
      </c>
      <c r="C13" s="59">
        <f>COUNTIF('4-Matriz Riesgos'!H6:H17,"MEDIO")</f>
        <v>7</v>
      </c>
      <c r="D13" s="60">
        <f>C13/12</f>
        <v>0.58333333333333337</v>
      </c>
      <c r="E13" s="111" t="str">
        <f>REPT("█",C13*3)</f>
        <v>█████████████████████</v>
      </c>
      <c r="F13" s="112"/>
      <c r="G13" s="112"/>
    </row>
    <row r="14" spans="1:14" ht="19.5" customHeight="1" x14ac:dyDescent="0.3">
      <c r="B14" s="52" t="s">
        <v>550</v>
      </c>
      <c r="C14" s="61">
        <f>COUNTIF('4-Matriz Riesgos'!H6:H17,"BAJO")</f>
        <v>0</v>
      </c>
      <c r="D14" s="62">
        <f>C14/12</f>
        <v>0</v>
      </c>
      <c r="E14" s="113" t="str">
        <f>REPT("█",C14*3)</f>
        <v/>
      </c>
      <c r="F14" s="114"/>
      <c r="G14" s="114"/>
    </row>
    <row r="16" spans="1:14" ht="19.5" customHeight="1" x14ac:dyDescent="0.3">
      <c r="B16" s="93" t="s">
        <v>551</v>
      </c>
      <c r="C16" s="93"/>
      <c r="D16" s="93"/>
      <c r="E16" s="93"/>
      <c r="F16" s="92"/>
      <c r="G16" s="92"/>
    </row>
    <row r="17" spans="2:7" ht="21.75" customHeight="1" x14ac:dyDescent="0.3">
      <c r="B17" s="16" t="s">
        <v>552</v>
      </c>
      <c r="C17" s="16" t="s">
        <v>544</v>
      </c>
      <c r="D17" s="95" t="s">
        <v>545</v>
      </c>
      <c r="E17" s="96"/>
    </row>
    <row r="18" spans="2:7" ht="18" customHeight="1" x14ac:dyDescent="0.3">
      <c r="B18" s="63" t="s">
        <v>335</v>
      </c>
      <c r="C18" s="64">
        <f>COUNTIF('6-SoA Anexo A'!H6:H98,"*No implementado*")</f>
        <v>92</v>
      </c>
      <c r="D18" s="97">
        <f>C18/93</f>
        <v>0.989247311827957</v>
      </c>
      <c r="E18" s="98"/>
    </row>
    <row r="19" spans="2:7" ht="18" customHeight="1" x14ac:dyDescent="0.3">
      <c r="B19" s="66" t="s">
        <v>553</v>
      </c>
      <c r="C19" s="67">
        <f>COUNTIF('6-SoA Anexo A'!H6:H98,"*En diseño*")</f>
        <v>0</v>
      </c>
      <c r="D19" s="99">
        <f>C19/93</f>
        <v>0</v>
      </c>
      <c r="E19" s="100"/>
    </row>
    <row r="20" spans="2:7" ht="18" customHeight="1" x14ac:dyDescent="0.3">
      <c r="B20" s="68" t="s">
        <v>554</v>
      </c>
      <c r="C20" s="59">
        <f>COUNTIF('6-SoA Anexo A'!H6:H98,"*En implementacion*")</f>
        <v>0</v>
      </c>
      <c r="D20" s="101">
        <f>C20/93</f>
        <v>0</v>
      </c>
      <c r="E20" s="102"/>
    </row>
    <row r="21" spans="2:7" ht="18" customHeight="1" x14ac:dyDescent="0.3">
      <c r="B21" s="69" t="s">
        <v>555</v>
      </c>
      <c r="C21" s="70">
        <f>COUNTIF('6-SoA Anexo A'!H6:H98,"*Implementado*")</f>
        <v>93</v>
      </c>
      <c r="D21" s="103">
        <f>C21/93</f>
        <v>1</v>
      </c>
      <c r="E21" s="104"/>
    </row>
    <row r="22" spans="2:7" ht="18" customHeight="1" x14ac:dyDescent="0.3">
      <c r="B22" s="71" t="s">
        <v>556</v>
      </c>
      <c r="C22" s="61">
        <f>COUNTIF('6-SoA Anexo A'!H6:H98,"*Implementado y verificado*")</f>
        <v>0</v>
      </c>
      <c r="D22" s="105">
        <f>C22/93</f>
        <v>0</v>
      </c>
      <c r="E22" s="106"/>
    </row>
    <row r="24" spans="2:7" ht="19.5" customHeight="1" x14ac:dyDescent="0.3">
      <c r="B24" s="94" t="s">
        <v>557</v>
      </c>
      <c r="C24" s="94"/>
      <c r="D24" s="94"/>
      <c r="E24" s="92"/>
      <c r="F24" s="92"/>
      <c r="G24" s="92"/>
    </row>
    <row r="25" spans="2:7" ht="21.75" customHeight="1" x14ac:dyDescent="0.3">
      <c r="B25" s="16" t="s">
        <v>558</v>
      </c>
      <c r="C25" s="16" t="s">
        <v>544</v>
      </c>
      <c r="D25" s="16" t="s">
        <v>545</v>
      </c>
    </row>
    <row r="26" spans="2:7" ht="18" customHeight="1" x14ac:dyDescent="0.3">
      <c r="B26" s="52" t="s">
        <v>559</v>
      </c>
      <c r="C26" s="61">
        <f>COUNTIF('5-Plan Tratamiento'!H6:H17,"*Completado*")</f>
        <v>1</v>
      </c>
      <c r="D26" s="62">
        <f>C26/12</f>
        <v>8.3333333333333329E-2</v>
      </c>
    </row>
    <row r="27" spans="2:7" ht="18" customHeight="1" x14ac:dyDescent="0.3">
      <c r="B27" s="58" t="s">
        <v>560</v>
      </c>
      <c r="C27" s="59">
        <f>COUNTIF('5-Plan Tratamiento'!H6:H17,"*En proceso*")</f>
        <v>2</v>
      </c>
      <c r="D27" s="60">
        <f>C27/12</f>
        <v>0.16666666666666666</v>
      </c>
    </row>
    <row r="28" spans="2:7" ht="18" customHeight="1" x14ac:dyDescent="0.3">
      <c r="B28" s="72" t="s">
        <v>561</v>
      </c>
      <c r="C28" s="64">
        <f>COUNTIF('5-Plan Tratamiento'!H6:H17,"*Pendiente*")</f>
        <v>9</v>
      </c>
      <c r="D28" s="65">
        <f>C28/12</f>
        <v>0.75</v>
      </c>
    </row>
    <row r="30" spans="2:7" ht="19.5" customHeight="1" x14ac:dyDescent="0.3">
      <c r="B30" s="94" t="s">
        <v>562</v>
      </c>
      <c r="C30" s="94"/>
      <c r="D30" s="94"/>
      <c r="E30" s="94"/>
      <c r="F30" s="92"/>
      <c r="G30" s="92"/>
    </row>
    <row r="31" spans="2:7" ht="21.75" customHeight="1" x14ac:dyDescent="0.3">
      <c r="B31" s="16" t="s">
        <v>39</v>
      </c>
      <c r="C31" s="16" t="s">
        <v>563</v>
      </c>
      <c r="D31" s="16" t="s">
        <v>564</v>
      </c>
      <c r="E31" s="16" t="s">
        <v>335</v>
      </c>
    </row>
    <row r="32" spans="2:7" ht="18" customHeight="1" x14ac:dyDescent="0.3">
      <c r="B32" s="42" t="s">
        <v>333</v>
      </c>
      <c r="C32" s="73">
        <v>37</v>
      </c>
      <c r="D32" s="70">
        <f>COUNTIFS('6-SoA Anexo A'!D6:D98,"Organizacional",'6-SoA Anexo A'!E6:E98,"Si")</f>
        <v>37</v>
      </c>
      <c r="E32" s="70">
        <f>COUNTIFS('6-SoA Anexo A'!D6:D98,"Organizacional",'6-SoA Anexo A'!H6:H98,"No implementado")</f>
        <v>36</v>
      </c>
    </row>
    <row r="33" spans="2:5" ht="18" customHeight="1" x14ac:dyDescent="0.3">
      <c r="B33" s="48" t="s">
        <v>170</v>
      </c>
      <c r="C33" s="74">
        <v>8</v>
      </c>
      <c r="D33" s="75">
        <f>COUNTIFS('6-SoA Anexo A'!D6:D98,"Personas",'6-SoA Anexo A'!E6:E98,"Si")</f>
        <v>8</v>
      </c>
      <c r="E33" s="75">
        <f>COUNTIFS('6-SoA Anexo A'!D6:D98,"Personas",'6-SoA Anexo A'!H6:H98,"No implementado")</f>
        <v>8</v>
      </c>
    </row>
    <row r="34" spans="2:5" ht="18" customHeight="1" x14ac:dyDescent="0.3">
      <c r="B34" s="50" t="s">
        <v>426</v>
      </c>
      <c r="C34" s="76">
        <v>14</v>
      </c>
      <c r="D34" s="67">
        <f>COUNTIFS('6-SoA Anexo A'!D6:D98,"Fisico",'6-SoA Anexo A'!E6:E98,"Si")</f>
        <v>14</v>
      </c>
      <c r="E34" s="67">
        <f>COUNTIFS('6-SoA Anexo A'!D6:D98,"Fisico",'6-SoA Anexo A'!H6:H98,"No implementado")</f>
        <v>14</v>
      </c>
    </row>
    <row r="35" spans="2:5" ht="18" customHeight="1" x14ac:dyDescent="0.3">
      <c r="B35" s="52" t="s">
        <v>455</v>
      </c>
      <c r="C35" s="77">
        <v>34</v>
      </c>
      <c r="D35" s="61">
        <f>COUNTIFS('6-SoA Anexo A'!D6:D98,"Tecnologico",'6-SoA Anexo A'!E6:E98,"Si")</f>
        <v>34</v>
      </c>
      <c r="E35" s="61">
        <f>COUNTIFS('6-SoA Anexo A'!D6:D98,"Tecnologico",'6-SoA Anexo A'!H6:H98,"No implementado")</f>
        <v>34</v>
      </c>
    </row>
  </sheetData>
  <mergeCells count="41">
    <mergeCell ref="E12:G12"/>
    <mergeCell ref="E13:G13"/>
    <mergeCell ref="E14:G14"/>
    <mergeCell ref="L7:M7"/>
    <mergeCell ref="B9:G9"/>
    <mergeCell ref="B30:E30"/>
    <mergeCell ref="B24:D24"/>
    <mergeCell ref="B16:E16"/>
    <mergeCell ref="D17:E17"/>
    <mergeCell ref="D18:E18"/>
    <mergeCell ref="D19:E19"/>
    <mergeCell ref="D20:E20"/>
    <mergeCell ref="D21:E21"/>
    <mergeCell ref="D22:E22"/>
    <mergeCell ref="E10:G10"/>
    <mergeCell ref="E11:G11"/>
    <mergeCell ref="B7:C7"/>
    <mergeCell ref="D7:E7"/>
    <mergeCell ref="F7:G7"/>
    <mergeCell ref="H7:I7"/>
    <mergeCell ref="J7:K7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A1:N1"/>
    <mergeCell ref="A2:N2"/>
    <mergeCell ref="B4:C4"/>
    <mergeCell ref="D4:E4"/>
    <mergeCell ref="F4:G4"/>
    <mergeCell ref="H4:I4"/>
    <mergeCell ref="J4:K4"/>
    <mergeCell ref="L4:M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Instrucciones</vt:lpstr>
      <vt:lpstr>1-Contexto</vt:lpstr>
      <vt:lpstr>2-Inventario Activos</vt:lpstr>
      <vt:lpstr>3-Identif Riesgos</vt:lpstr>
      <vt:lpstr>4-Matriz Riesgos</vt:lpstr>
      <vt:lpstr>5-Plan Tratamiento</vt:lpstr>
      <vt:lpstr>6-SoA Anexo A</vt:lpstr>
      <vt:lpstr>7-Roadmap</vt:lpstr>
      <vt:lpstr>8-Dashboard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Florencia Abagnale</cp:lastModifiedBy>
  <cp:revision>0</cp:revision>
  <dcterms:created xsi:type="dcterms:W3CDTF">2026-06-30T20:16:30Z</dcterms:created>
  <dcterms:modified xsi:type="dcterms:W3CDTF">2026-07-01T00:10:12Z</dcterms:modified>
  <dc:language>en-US</dc:language>
</cp:coreProperties>
</file>