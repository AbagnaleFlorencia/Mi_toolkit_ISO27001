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ciones" sheetId="1" state="visible" r:id="rId3"/>
    <sheet name="1-Contexto" sheetId="2" state="visible" r:id="rId4"/>
    <sheet name="2-Inventario Activos" sheetId="3" state="visible" r:id="rId5"/>
    <sheet name="3-Identif Riesgos" sheetId="4" state="visible" r:id="rId6"/>
    <sheet name="4-Matriz Riesgos" sheetId="5" state="visible" r:id="rId7"/>
    <sheet name="5-Plan Tratamiento" sheetId="6" state="visible" r:id="rId8"/>
    <sheet name="6-SoA Anexo A" sheetId="7" state="visible" r:id="rId9"/>
    <sheet name="7-Roadmap" sheetId="8" state="visible" r:id="rId10"/>
    <sheet name="8-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<sst xmlns="http://schemas.openxmlformats.org/spreadsheetml/2006/main" count="1041" uniqueCount="567">
  <si>
    <t xml:space="preserve">ISO 27001:2022 / ISO 31000  —  SGSI Toolkit</t>
  </si>
  <si>
    <t xml:space="preserve">Conjunto de herramientas de implementación: contexto, activos, riesgos, SoA y plan de tratamiento</t>
  </si>
  <si>
    <t xml:space="preserve">ISO/IEC 27001:2022 + ISO 31000:2018  |  Instrucciones  |  Toolkit de Implementación v1.0</t>
  </si>
  <si>
    <t xml:space="preserve">🗂 HOJAS INCLUIDAS EN ESTE TOOLKIT</t>
  </si>
  <si>
    <t xml:space="preserve">1️⃣  Contexto (4.1-4.2)  — Factores internos/externos y partes interesadas (cláusula 4 ISO 27001)</t>
  </si>
  <si>
    <t xml:space="preserve">2️⃣  Inventario de Activos  — Activos de información, software, hardware, servicios y personas (Anexo A 5.9)</t>
  </si>
  <si>
    <t xml:space="preserve">3️⃣  Identificación de Riesgos  — Activo / Amenaza / Vulnerabilidad (metodología ISO 31000)</t>
  </si>
  <si>
    <t xml:space="preserve">4️⃣  Matriz de Evaluación  — Probabilidad × Impacto, mapa de calor 5x5, nivel de riesgo</t>
  </si>
  <si>
    <t xml:space="preserve">5️⃣  Plan de Tratamiento  — Mitigar / Evitar / Transferir / Aceptar + acciones y responsables</t>
  </si>
  <si>
    <t xml:space="preserve">6️⃣  SoA (Declaración de Aplicabilidad)  — Los 93 controles del Anexo A ISO 27001:2022 completos</t>
  </si>
  <si>
    <t xml:space="preserve">7️⃣  Roadmap  — Plan de implementación trimestral</t>
  </si>
  <si>
    <t xml:space="preserve">8️⃣  Dashboard  — KPIs ejecutivos automáticos</t>
  </si>
  <si>
    <t xml:space="preserve">🎯 METODOLOGÍA APLICADA</t>
  </si>
  <si>
    <t xml:space="preserve">• ISO/IEC 27001:2022 — Cláusulas 4 a 10 (requisitos del SGSI) + Anexo A (93 controles, 4 categorías)</t>
  </si>
  <si>
    <t xml:space="preserve">• ISO 31000:2018 — Principios, marco de referencia y proceso de gestión de riesgos</t>
  </si>
  <si>
    <t xml:space="preserve">• ISO/IEC 27005:2022 — Guía específica de gestión de riesgos de seguridad de la información</t>
  </si>
  <si>
    <t xml:space="preserve">📐 PROCESO DE GESTIÓN DE RIESGO SEGÚN ISO 31000</t>
  </si>
  <si>
    <t xml:space="preserve">1. Establecer el contexto → 2. Identificar riesgos → 3. Analizar riesgos → 4. Evaluar riesgos</t>
  </si>
  <si>
    <t xml:space="preserve">5. Tratar riesgos → 6. Monitorear y revisar (continuo) → 7. Comunicar y consultar (transversal)</t>
  </si>
  <si>
    <t xml:space="preserve">🔢 METODOLOGÍA DE CÁLCULO DE RIESGO (en este toolkit)</t>
  </si>
  <si>
    <t xml:space="preserve">Riesgo Inherente = Probabilidad (1-5) × Impacto (1-5)  →  escala de 1 a 25</t>
  </si>
  <si>
    <t xml:space="preserve">Verde (1-5) Bajo · Amarillo (6-10) Medio · Naranja (11-15) Alto · Rojo (16-25) Crítico</t>
  </si>
  <si>
    <t xml:space="preserve">Riesgo Residual = se recalcula tras aplicar controles del SoA (ver hoja Plan de Tratamiento)</t>
  </si>
  <si>
    <t xml:space="preserve">✅ CÓMO USAR ESTE ARCHIVO</t>
  </si>
  <si>
    <t xml:space="preserve">1. Completar Contexto y Alcance primero (es la base de todo el SGSI).</t>
  </si>
  <si>
    <t xml:space="preserve">2. Cargar el inventario completo de activos con su valoración CID.</t>
  </si>
  <si>
    <t xml:space="preserve">3. Para cada activo crítico, identificar amenazas y vulnerabilidades en la hoja 3.</t>
  </si>
  <si>
    <t xml:space="preserve">4. Evaluar probabilidad e impacto en la Matriz — el nivel se calcula solo.</t>
  </si>
  <si>
    <t xml:space="preserve">5. Definir tratamiento y vincular controles del SoA a cada riesgo.</t>
  </si>
  <si>
    <t xml:space="preserve">6. Revisar el Dashboard — se actualiza automáticamente con tus datos.</t>
  </si>
  <si>
    <t xml:space="preserve">⚠️ Las celdas en AMARILLO son para completar. El resto se calcula automáticamente.</t>
  </si>
  <si>
    <t xml:space="preserve">CONTEXTO DE LA ORGANIZACIÓN — Cláusula 4 ISO 27001:2022</t>
  </si>
  <si>
    <t xml:space="preserve">4.1 Comprensión de la organización y su contexto | 4.2 Partes interesadas | 4.3 Alcance del SGSI</t>
  </si>
  <si>
    <t xml:space="preserve">ISO/IEC 27001:2022 + ISO 31000:2018  |  Contexto  |  Toolkit de Implementación v1.0</t>
  </si>
  <si>
    <t xml:space="preserve">4.1  FACTORES INTERNOS</t>
  </si>
  <si>
    <t xml:space="preserve">Categoría</t>
  </si>
  <si>
    <t xml:space="preserve">Descripción</t>
  </si>
  <si>
    <t xml:space="preserve">Impacto en SGSI</t>
  </si>
  <si>
    <t xml:space="preserve">Editar ▼</t>
  </si>
  <si>
    <t xml:space="preserve">Estructura organizacional</t>
  </si>
  <si>
    <t xml:space="preserve">Tamaño, áreas, niveles jerárquicos y modelo de gobierno</t>
  </si>
  <si>
    <t xml:space="preserve">Define alcance y roles del SGSI</t>
  </si>
  <si>
    <t xml:space="preserve">Cultura organizacional</t>
  </si>
  <si>
    <t xml:space="preserve">Nivel de madurez en seguridad, tolerancia al riesgo, agilidad</t>
  </si>
  <si>
    <t xml:space="preserve">Condiciona velocidad de adopción de controles</t>
  </si>
  <si>
    <t xml:space="preserve">Procesos de negocio</t>
  </si>
  <si>
    <t xml:space="preserve">Procesos core, criticidad operativa, dependencias</t>
  </si>
  <si>
    <t xml:space="preserve">Determina qué activos/procesos incluir en el alcance</t>
  </si>
  <si>
    <t xml:space="preserve">Infraestructura tecnológica</t>
  </si>
  <si>
    <t xml:space="preserve">Arquitectura, sistemas legados, nube vs on-premise</t>
  </si>
  <si>
    <t xml:space="preserve">Define superficie de ataque y controles técnicos necesarios</t>
  </si>
  <si>
    <t xml:space="preserve">Recursos y capacidades</t>
  </si>
  <si>
    <t xml:space="preserve">Presupuesto, personal especializado, herramientas disponibles</t>
  </si>
  <si>
    <t xml:space="preserve">Limita o habilita el ritmo de implementación</t>
  </si>
  <si>
    <t xml:space="preserve">Políticas y objetivos estratégicos</t>
  </si>
  <si>
    <t xml:space="preserve">Visión, misión, objetivos de negocio de mediano plazo</t>
  </si>
  <si>
    <t xml:space="preserve">El SGSI debe alinearse a objetivos estratégicos</t>
  </si>
  <si>
    <t xml:space="preserve">Activos críticos de información</t>
  </si>
  <si>
    <t xml:space="preserve">Qué información es vital para la operación y ventaja competitiva</t>
  </si>
  <si>
    <t xml:space="preserve">Prioriza foco de protección</t>
  </si>
  <si>
    <t xml:space="preserve">4.1  FACTORES EXTERNOS</t>
  </si>
  <si>
    <t xml:space="preserve">Marco legal y regulatorio</t>
  </si>
  <si>
    <t xml:space="preserve">Leyes de protección de datos, regulación sectorial, normas locales</t>
  </si>
  <si>
    <t xml:space="preserve">Define requisitos legales obligatorios (cláusula 4.2)</t>
  </si>
  <si>
    <t xml:space="preserve">Entorno competitivo</t>
  </si>
  <si>
    <t xml:space="preserve">Estándares de seguridad exigidos por el mercado y clientes</t>
  </si>
  <si>
    <t xml:space="preserve">La certificación puede ser ventaja competitiva o requisito</t>
  </si>
  <si>
    <t xml:space="preserve">Amenazas del sector</t>
  </si>
  <si>
    <t xml:space="preserve">Tipo de ciberataques frecuentes en la industria (ransomware, phishing, etc.)</t>
  </si>
  <si>
    <t xml:space="preserve">Orienta priorización de controles del Anexo A</t>
  </si>
  <si>
    <t xml:space="preserve">Cadena de suministro</t>
  </si>
  <si>
    <t xml:space="preserve">Dependencia de proveedores tecnológicos críticos (cloud, SaaS)</t>
  </si>
  <si>
    <t xml:space="preserve">Requiere gestión de riesgos de terceros (Anexo A 5.19-5.23)</t>
  </si>
  <si>
    <t xml:space="preserve">Factores tecnológicos</t>
  </si>
  <si>
    <t xml:space="preserve">Tendencias: IA, cloud, trabajo remoto, IoT</t>
  </si>
  <si>
    <t xml:space="preserve">Introduce nuevos vectores de riesgo a evaluar</t>
  </si>
  <si>
    <t xml:space="preserve">Factores sociopolíticos</t>
  </si>
  <si>
    <t xml:space="preserve">Estabilidad regulatoria, relaciones internacionales, geopolítica de datos</t>
  </si>
  <si>
    <t xml:space="preserve">Afecta transferencias internacionales y continuidad</t>
  </si>
  <si>
    <t xml:space="preserve">4.2  PARTES INTERESADAS (REQUISITOS Y EXPECTATIVAS)</t>
  </si>
  <si>
    <t xml:space="preserve">Parte interesada</t>
  </si>
  <si>
    <t xml:space="preserve">Necesidades / Expectativas</t>
  </si>
  <si>
    <t xml:space="preserve">Requisito p/SGSI</t>
  </si>
  <si>
    <t xml:space="preserve">Clientes / Usuarios</t>
  </si>
  <si>
    <t xml:space="preserve">Confidencialidad, disponibilidad del servicio, cumplimiento normativo</t>
  </si>
  <si>
    <t xml:space="preserve">Controles de protección de datos personales</t>
  </si>
  <si>
    <t xml:space="preserve">Empleados</t>
  </si>
  <si>
    <t xml:space="preserve">Claridad en políticas, protección de sus propios datos, capacitación</t>
  </si>
  <si>
    <t xml:space="preserve">Programa de concientización (Anexo A 6.3)</t>
  </si>
  <si>
    <t xml:space="preserve">Accionistas / Directorio</t>
  </si>
  <si>
    <t xml:space="preserve">Continuidad del negocio, reputación, reducción de riesgo financiero</t>
  </si>
  <si>
    <t xml:space="preserve">KPIs de seguridad y reporting periódico</t>
  </si>
  <si>
    <t xml:space="preserve">Reguladores / Autoridades</t>
  </si>
  <si>
    <t xml:space="preserve">Cumplimiento legal, notificación de incidentes, auditabilidad</t>
  </si>
  <si>
    <t xml:space="preserve">Procedimientos documentados y evidencias</t>
  </si>
  <si>
    <t xml:space="preserve">Proveedores / Socios</t>
  </si>
  <si>
    <t xml:space="preserve">Acuerdos de confidencialidad, gestión de accesos compartidos</t>
  </si>
  <si>
    <t xml:space="preserve">Cláusulas contractuales de seguridad (Anexo A 5.20)</t>
  </si>
  <si>
    <t xml:space="preserve">Auditores (internos/externos)</t>
  </si>
  <si>
    <t xml:space="preserve">Evidencia de controles, trazabilidad, registros</t>
  </si>
  <si>
    <t xml:space="preserve">Documentación y registros del SGSI</t>
  </si>
  <si>
    <t xml:space="preserve">4.3  ALCANCE DEL SGSI (declaración a completar)</t>
  </si>
  <si>
    <t xml:space="preserve">Completar aquí la declaración formal de alcance: qué procesos, ubicaciones, sistemas y personal están incluidos. Indicar exclusiones justificadas. Ejemplo: 'El SGSI abarca los procesos de [...], los sistemas [...], el personal de las áreas [...] en las ubicaciones [...]. Se excluye [...] por [justificación].'</t>
  </si>
  <si>
    <t xml:space="preserve">INVENTARIO DE ACTIVOS — Anexo A 5.9 ISO 27001:2022</t>
  </si>
  <si>
    <t xml:space="preserve">Información · Software · Hardware · Servicios · Personas | Valoración CID (Confidencialidad-Integridad-Disponibilidad)</t>
  </si>
  <si>
    <t xml:space="preserve">ISO/IEC 27001:2022 + ISO 31000:2018  |  Inventario de Activos  |  Toolkit de Implementación v1.0</t>
  </si>
  <si>
    <t xml:space="preserve">#</t>
  </si>
  <si>
    <t xml:space="preserve">ID</t>
  </si>
  <si>
    <t xml:space="preserve">Activo</t>
  </si>
  <si>
    <t xml:space="preserve">Tipo</t>
  </si>
  <si>
    <t xml:space="preserve">Propietario</t>
  </si>
  <si>
    <t xml:space="preserve">C</t>
  </si>
  <si>
    <t xml:space="preserve">I</t>
  </si>
  <si>
    <t xml:space="preserve">D</t>
  </si>
  <si>
    <t xml:space="preserve">Valor
(C+I+D)</t>
  </si>
  <si>
    <t xml:space="preserve">Criticidad</t>
  </si>
  <si>
    <t xml:space="preserve">Ubicación /
Sistema</t>
  </si>
  <si>
    <t xml:space="preserve">Estado ▼</t>
  </si>
  <si>
    <t xml:space="preserve">AC-01</t>
  </si>
  <si>
    <t xml:space="preserve">Base de datos de clientes/pacientes</t>
  </si>
  <si>
    <t xml:space="preserve">Información</t>
  </si>
  <si>
    <t xml:space="preserve">Gerencia Operaciones</t>
  </si>
  <si>
    <t xml:space="preserve">🔴 CRÍTICO</t>
  </si>
  <si>
    <t xml:space="preserve">Servidor / Cloud AWS</t>
  </si>
  <si>
    <t xml:space="preserve">AC-02</t>
  </si>
  <si>
    <t xml:space="preserve">Datos personales de empleados</t>
  </si>
  <si>
    <t xml:space="preserve">RRHH</t>
  </si>
  <si>
    <t xml:space="preserve">Sistema RRHH / HRIS</t>
  </si>
  <si>
    <t xml:space="preserve">AC-03</t>
  </si>
  <si>
    <t xml:space="preserve">Código fuente de aplicaciones</t>
  </si>
  <si>
    <t xml:space="preserve">Información / Software</t>
  </si>
  <si>
    <t xml:space="preserve">Tecnología</t>
  </si>
  <si>
    <t xml:space="preserve">GitHub / GitLab</t>
  </si>
  <si>
    <t xml:space="preserve">AC-04</t>
  </si>
  <si>
    <t xml:space="preserve">Contratos y documentación legal</t>
  </si>
  <si>
    <t xml:space="preserve">Legal / Administración</t>
  </si>
  <si>
    <t xml:space="preserve">Repositorio documental</t>
  </si>
  <si>
    <t xml:space="preserve">AC-05</t>
  </si>
  <si>
    <t xml:space="preserve">Registros financieros y facturación</t>
  </si>
  <si>
    <t xml:space="preserve">Administración</t>
  </si>
  <si>
    <t xml:space="preserve">ERP / Sistema contable</t>
  </si>
  <si>
    <t xml:space="preserve">AC-06</t>
  </si>
  <si>
    <t xml:space="preserve">Aplicación web principal</t>
  </si>
  <si>
    <t xml:space="preserve">Software</t>
  </si>
  <si>
    <t xml:space="preserve">AWS — Producción</t>
  </si>
  <si>
    <t xml:space="preserve">AC-07</t>
  </si>
  <si>
    <t xml:space="preserve">Aplicación móvil</t>
  </si>
  <si>
    <t xml:space="preserve">App Store / Play Store</t>
  </si>
  <si>
    <t xml:space="preserve">AC-08</t>
  </si>
  <si>
    <t xml:space="preserve">Sistema CRM</t>
  </si>
  <si>
    <t xml:space="preserve">Comercial</t>
  </si>
  <si>
    <t xml:space="preserve">🟡 IMPORTANTE</t>
  </si>
  <si>
    <t xml:space="preserve">Cloud SaaS</t>
  </si>
  <si>
    <t xml:space="preserve">AC-09</t>
  </si>
  <si>
    <t xml:space="preserve">Sistema de mesa de ayuda (ticketing)</t>
  </si>
  <si>
    <t xml:space="preserve">Atención al Cliente</t>
  </si>
  <si>
    <t xml:space="preserve">AC-10</t>
  </si>
  <si>
    <t xml:space="preserve">Suite de productividad (Google/M365)</t>
  </si>
  <si>
    <t xml:space="preserve">Software / Servicio</t>
  </si>
  <si>
    <t xml:space="preserve">Cloud</t>
  </si>
  <si>
    <t xml:space="preserve">AC-11</t>
  </si>
  <si>
    <t xml:space="preserve">Laptops corporativas</t>
  </si>
  <si>
    <t xml:space="preserve">Hardware</t>
  </si>
  <si>
    <t xml:space="preserve">Tecnología / RRHH</t>
  </si>
  <si>
    <t xml:space="preserve">Equipos asignados a empleados</t>
  </si>
  <si>
    <t xml:space="preserve">AC-12</t>
  </si>
  <si>
    <t xml:space="preserve">Servidores / infraestructura on-premise</t>
  </si>
  <si>
    <t xml:space="preserve">Datacenter / Oficina</t>
  </si>
  <si>
    <t xml:space="preserve">AC-13</t>
  </si>
  <si>
    <t xml:space="preserve">Dispositivos móviles corporativos</t>
  </si>
  <si>
    <t xml:space="preserve">Operaciones</t>
  </si>
  <si>
    <t xml:space="preserve">Asignados a personal de campo</t>
  </si>
  <si>
    <t xml:space="preserve">AC-14</t>
  </si>
  <si>
    <t xml:space="preserve">Infraestructura cloud (IaaS/PaaS)</t>
  </si>
  <si>
    <t xml:space="preserve">Servicio</t>
  </si>
  <si>
    <t xml:space="preserve">AWS / Azure / GCP</t>
  </si>
  <si>
    <t xml:space="preserve">AC-15</t>
  </si>
  <si>
    <t xml:space="preserve">Conectividad VPN / acceso remoto</t>
  </si>
  <si>
    <t xml:space="preserve">Red corporativa</t>
  </si>
  <si>
    <t xml:space="preserve">AC-16</t>
  </si>
  <si>
    <t xml:space="preserve">Servicio de backups</t>
  </si>
  <si>
    <t xml:space="preserve">Cloud / Almacenamiento externo</t>
  </si>
  <si>
    <t xml:space="preserve">AC-17</t>
  </si>
  <si>
    <t xml:space="preserve">Canal de comunicación interna</t>
  </si>
  <si>
    <t xml:space="preserve">Slack / Teams</t>
  </si>
  <si>
    <t xml:space="preserve">AC-18</t>
  </si>
  <si>
    <t xml:space="preserve">Equipo de Tecnología / Desarrollo</t>
  </si>
  <si>
    <t xml:space="preserve">Personas</t>
  </si>
  <si>
    <t xml:space="preserve">CTO</t>
  </si>
  <si>
    <t xml:space="preserve">Interno</t>
  </si>
  <si>
    <t xml:space="preserve">AC-19</t>
  </si>
  <si>
    <t xml:space="preserve">Equipo de Seguridad/Compliance</t>
  </si>
  <si>
    <t xml:space="preserve">Dirección</t>
  </si>
  <si>
    <t xml:space="preserve">AC-20</t>
  </si>
  <si>
    <t xml:space="preserve">Personal con acceso a datos sensibles</t>
  </si>
  <si>
    <t xml:space="preserve">Áreas operativas</t>
  </si>
  <si>
    <t xml:space="preserve">📐 Escala C/I/D: 1=Bajo 2=Medio 3=Alto | Valor = C+I+D (máx 9) | Crítico ≥8 · Importante 6-7 · Normal ≤5 | Columnas C/I/D y Estado son editables (amarillo)</t>
  </si>
  <si>
    <t xml:space="preserve">IDENTIFICACIÓN DE RIESGOS — Activo / Amenaza / Vulnerabilidad</t>
  </si>
  <si>
    <t xml:space="preserve">Proceso de identificación según ISO 31000 §6.4.2 y ISO/IEC 27005 | Foco en activos críticos del inventario</t>
  </si>
  <si>
    <t xml:space="preserve">ISO/IEC 27001:2022 + ISO 31000:2018  |  Identificación de Riesgos  |  Toolkit de Implementación v1.0</t>
  </si>
  <si>
    <t xml:space="preserve">Activo crítico</t>
  </si>
  <si>
    <t xml:space="preserve">Amenaza</t>
  </si>
  <si>
    <t xml:space="preserve">Vulnerabilidad</t>
  </si>
  <si>
    <t xml:space="preserve">Origen ▼</t>
  </si>
  <si>
    <t xml:space="preserve">R-01</t>
  </si>
  <si>
    <t xml:space="preserve">Acceso no autorizado / exfiltración de datos</t>
  </si>
  <si>
    <t xml:space="preserve">MFA no implementado universalmente; gestión de accesos informal</t>
  </si>
  <si>
    <t xml:space="preserve">Externo</t>
  </si>
  <si>
    <t xml:space="preserve">R-02</t>
  </si>
  <si>
    <t xml:space="preserve">Infraestructura cloud (AWS/Azure)</t>
  </si>
  <si>
    <t xml:space="preserve">Ransomware con cifrado de datos y caída de servicio</t>
  </si>
  <si>
    <t xml:space="preserve">Backups sin pruebas de restauración regulares; sin plan de continuidad</t>
  </si>
  <si>
    <t xml:space="preserve">R-03</t>
  </si>
  <si>
    <t xml:space="preserve">Suite de productividad (correo)</t>
  </si>
  <si>
    <t xml:space="preserve">Phishing / Business Email Compromise (BEC)</t>
  </si>
  <si>
    <t xml:space="preserve">Capacitación en seguridad esporádica; sin filtros DMARC/DKIM/SPF</t>
  </si>
  <si>
    <t xml:space="preserve">R-04</t>
  </si>
  <si>
    <t xml:space="preserve">Inyección SQL / XSS / explotación OWASP Top 10</t>
  </si>
  <si>
    <t xml:space="preserve">Sin revisiones de seguridad de código (SAST/DAST) en el ciclo de desarrollo</t>
  </si>
  <si>
    <t xml:space="preserve">R-05</t>
  </si>
  <si>
    <t xml:space="preserve">Código fuente (repositorios)</t>
  </si>
  <si>
    <t xml:space="preserve">Robo o manipulación de código / inyección de malware</t>
  </si>
  <si>
    <t xml:space="preserve">Gestión de accesos sin revisión periódica; sin ramas protegidas</t>
  </si>
  <si>
    <t xml:space="preserve">Interno/Externo</t>
  </si>
  <si>
    <t xml:space="preserve">R-06</t>
  </si>
  <si>
    <t xml:space="preserve">Robo de credenciales / sesión no autorizada</t>
  </si>
  <si>
    <t xml:space="preserve">Sin MFA en la app; tokens de sesión con vida útil extendida</t>
  </si>
  <si>
    <t xml:space="preserve">R-07</t>
  </si>
  <si>
    <t xml:space="preserve">Interceptación de comunicaciones (Man-in-the-Middle)</t>
  </si>
  <si>
    <t xml:space="preserve">Sin política de acceso remoto formal; dispositivos BYOD sin control</t>
  </si>
  <si>
    <t xml:space="preserve">R-08</t>
  </si>
  <si>
    <t xml:space="preserve">Fraude interno / manipulación de datos financieros</t>
  </si>
  <si>
    <t xml:space="preserve">Sin separación de funciones; sin auditoría de accesos</t>
  </si>
  <si>
    <t xml:space="preserve">R-09</t>
  </si>
  <si>
    <t xml:space="preserve">Equipo de Tecnología / personal clave</t>
  </si>
  <si>
    <t xml:space="preserve">Pérdida de personal clave / fuga de conocimiento crítico</t>
  </si>
  <si>
    <t xml:space="preserve">Sin gestión de conocimiento documentada; sin proceso de offboarding formal</t>
  </si>
  <si>
    <t xml:space="preserve">R-10</t>
  </si>
  <si>
    <t xml:space="preserve">Robo o pérdida de equipo con datos sin cifrar</t>
  </si>
  <si>
    <t xml:space="preserve">Sin cifrado de disco obligatorio; sin gestión remota de dispositivos (MDM)</t>
  </si>
  <si>
    <t xml:space="preserve">R-11</t>
  </si>
  <si>
    <t xml:space="preserve">Servidores on-premise</t>
  </si>
  <si>
    <t xml:space="preserve">Falla de hardware / corte de energía prolongado</t>
  </si>
  <si>
    <t xml:space="preserve">Sin redundancia (UPS/generador); sin contrato de mantenimiento preventivo</t>
  </si>
  <si>
    <t xml:space="preserve">Ambiental</t>
  </si>
  <si>
    <t xml:space="preserve">R-12</t>
  </si>
  <si>
    <t xml:space="preserve">Fuga de datos personales y laborales sensibles</t>
  </si>
  <si>
    <t xml:space="preserve">Sin clasificación de la información; controles de acceso deficientes</t>
  </si>
  <si>
    <t xml:space="preserve">MATRIZ DE EVALUACIÓN DE RIESGOS — Probabilidad × Impacto</t>
  </si>
  <si>
    <t xml:space="preserve">Análisis y evaluación de riesgos según ISO 31000 §6.4.3-6.4.4 | Escala 5x5 (1-25)</t>
  </si>
  <si>
    <t xml:space="preserve">ISO/IEC 27001:2022 + ISO 31000:2018  |  Matriz de Evaluación  |  Toolkit de Implementación v1.0</t>
  </si>
  <si>
    <t xml:space="preserve">Riesgo</t>
  </si>
  <si>
    <t xml:space="preserve">Activo afectado</t>
  </si>
  <si>
    <t xml:space="preserve">Probab.
(1-5)</t>
  </si>
  <si>
    <t xml:space="preserve">Impacto
(1-5)</t>
  </si>
  <si>
    <t xml:space="preserve">Nivel
(P×I)</t>
  </si>
  <si>
    <t xml:space="preserve">Riesgo
residual obj.</t>
  </si>
  <si>
    <t xml:space="preserve">Prioridad</t>
  </si>
  <si>
    <t xml:space="preserve">Exfiltración de datos por acceso no autorizado a BD crítica</t>
  </si>
  <si>
    <t xml:space="preserve">BD clientes/pacientes</t>
  </si>
  <si>
    <t xml:space="preserve">CRÍTICO</t>
  </si>
  <si>
    <t xml:space="preserve">≤ 8 (Medio-Bajo)</t>
  </si>
  <si>
    <t xml:space="preserve">1°</t>
  </si>
  <si>
    <t xml:space="preserve">Ransomware con cifrado de datos en infraestructura cloud</t>
  </si>
  <si>
    <t xml:space="preserve">Infraestructura cloud</t>
  </si>
  <si>
    <t xml:space="preserve">Compromiso de cuenta corporativa por phishing/BEC</t>
  </si>
  <si>
    <t xml:space="preserve">Correo corporativo</t>
  </si>
  <si>
    <t xml:space="preserve">Inyección SQL/XSS explotando vulnerabilidades web</t>
  </si>
  <si>
    <t xml:space="preserve">App web principal</t>
  </si>
  <si>
    <t xml:space="preserve">ALTO</t>
  </si>
  <si>
    <t xml:space="preserve">2°</t>
  </si>
  <si>
    <t xml:space="preserve">Robo/manipulación de código fuente con inyección de malware</t>
  </si>
  <si>
    <t xml:space="preserve">Repositorios de código</t>
  </si>
  <si>
    <t xml:space="preserve">MEDIO</t>
  </si>
  <si>
    <t xml:space="preserve">3°</t>
  </si>
  <si>
    <t xml:space="preserve">Robo de credenciales en app móvil sin MFA</t>
  </si>
  <si>
    <t xml:space="preserve">App móvil</t>
  </si>
  <si>
    <t xml:space="preserve">Interceptación de comunicaciones vía VPN mal configurada</t>
  </si>
  <si>
    <t xml:space="preserve">VPN / acceso remoto</t>
  </si>
  <si>
    <t xml:space="preserve">Fraude interno sobre datos financieros sin controles</t>
  </si>
  <si>
    <t xml:space="preserve">Registros financieros</t>
  </si>
  <si>
    <t xml:space="preserve">Pérdida de personal clave sin transferencia de conocimiento</t>
  </si>
  <si>
    <t xml:space="preserve">Equipo Tecnología</t>
  </si>
  <si>
    <t xml:space="preserve">Robo o pérdida de laptop corporativa sin cifrado</t>
  </si>
  <si>
    <t xml:space="preserve">Falla de hardware / corte prolongado de energía</t>
  </si>
  <si>
    <t xml:space="preserve">Fuga de datos personales de empleados</t>
  </si>
  <si>
    <t xml:space="preserve">Datos personales empleados</t>
  </si>
  <si>
    <t xml:space="preserve">🗺  MAPA DE CALOR — Matriz 5×5</t>
  </si>
  <si>
    <t xml:space="preserve">Impacto ▼ / Prob. ►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</si>
  <si>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</si>
  <si>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</si>
  <si>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</si>
  <si>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</si>
  <si>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</si>
  <si>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Bajo (1-5)</t>
  </si>
  <si>
    <t xml:space="preserve">Medio (6-10)</t>
  </si>
  <si>
    <t xml:space="preserve">Alto (11-15)</t>
  </si>
  <si>
    <t xml:space="preserve">Crítico (16-25)</t>
  </si>
  <si>
    <t xml:space="preserve">PLAN DE TRATAMIENTO DE RIESGOS</t>
  </si>
  <si>
    <t xml:space="preserve">ISO 31000 §6.5 | Opciones: Mitigar · Evitar · Transferir · Aceptar</t>
  </si>
  <si>
    <t xml:space="preserve">ISO/IEC 27001:2022 + ISO 31000:2018  |  Plan de Tratamiento  |  Toolkit de Implementación v1.0</t>
  </si>
  <si>
    <t xml:space="preserve">Tratamiento ▼</t>
  </si>
  <si>
    <t xml:space="preserve">Acción / Justificación</t>
  </si>
  <si>
    <t xml:space="preserve">Responsable</t>
  </si>
  <si>
    <t xml:space="preserve">Fecha
objetivo</t>
  </si>
  <si>
    <t xml:space="preserve">Exfiltración de datos por acceso no autorizado</t>
  </si>
  <si>
    <t xml:space="preserve">MITIGAR</t>
  </si>
  <si>
    <t xml:space="preserve">Implementar MFA obligatorio, RBAC, cifrado en reposo/tránsito. Riesgo crítico — requiere reducción activa.</t>
  </si>
  <si>
    <t xml:space="preserve">CISO / Tecnología</t>
  </si>
  <si>
    <t xml:space="preserve">Q1</t>
  </si>
  <si>
    <t xml:space="preserve">🔲 Pendiente</t>
  </si>
  <si>
    <t xml:space="preserve">Ransomware en infraestructura cloud</t>
  </si>
  <si>
    <t xml:space="preserve">Política de backups 3-2-1 con pruebas de restauración periódicas + segmentación de red + BCP.</t>
  </si>
  <si>
    <t xml:space="preserve">Compromiso de cuenta por phishing/BEC</t>
  </si>
  <si>
    <t xml:space="preserve">MFA en correo, DMARC/DKIM/SPF, simulaciones de phishing y capacitación continua.</t>
  </si>
  <si>
    <t xml:space="preserve">CISO / RRHH</t>
  </si>
  <si>
    <t xml:space="preserve">Inyección SQL/XSS en app web</t>
  </si>
  <si>
    <t xml:space="preserve">SAST/DAST en CI/CD, estándar OWASP ASVS, pentesting anual.</t>
  </si>
  <si>
    <t xml:space="preserve">Q2</t>
  </si>
  <si>
    <t xml:space="preserve">Robo de código fuente / malware en repositorio</t>
  </si>
  <si>
    <t xml:space="preserve">Ramas protegidas, revisión obligatoria de PR, escaneo de dependencias (SCA), MFA en GitHub/GitLab.</t>
  </si>
  <si>
    <t xml:space="preserve">Robo de credenciales en app móvil</t>
  </si>
  <si>
    <t xml:space="preserve">MFA en la app, expiración de tokens reducida, detección de anomalías.</t>
  </si>
  <si>
    <t xml:space="preserve">Interceptación de comunicaciones VPN</t>
  </si>
  <si>
    <t xml:space="preserve">Política formal de acceso remoto, VPN corporativa cifrada, evaluar modelo Zero Trust.</t>
  </si>
  <si>
    <t xml:space="preserve">Fraude interno en datos financieros</t>
  </si>
  <si>
    <t xml:space="preserve">TRANSFERIR + MITIGAR</t>
  </si>
  <si>
    <t xml:space="preserve">Separación de funciones, logs de auditoría (mitigar) + póliza de seguro contra fraude (transferir).</t>
  </si>
  <si>
    <t xml:space="preserve">Administración / Legal</t>
  </si>
  <si>
    <t xml:space="preserve">Q3</t>
  </si>
  <si>
    <t xml:space="preserve">Pérdida de personal clave</t>
  </si>
  <si>
    <t xml:space="preserve">Planes de sucesión, documentación de conocimiento crítico, proceso formal de offboarding.</t>
  </si>
  <si>
    <t xml:space="preserve">RRHH / CTO</t>
  </si>
  <si>
    <t xml:space="preserve">Robo/pérdida de laptop sin cifrar</t>
  </si>
  <si>
    <t xml:space="preserve">Cifrado de disco obligatorio (BitLocker/FileVault), gestión remota de dispositivos (MDM).</t>
  </si>
  <si>
    <t xml:space="preserve">Falla de hardware / corte de energía</t>
  </si>
  <si>
    <t xml:space="preserve">UPS + generador de respaldo, contrato de mantenimiento preventivo, plan de migración a cloud.</t>
  </si>
  <si>
    <t xml:space="preserve">Clasificación de información, RBAC, auditoría de accesos a sistemas de RRHH.</t>
  </si>
  <si>
    <t xml:space="preserve">RRHH / DPO</t>
  </si>
  <si>
    <t xml:space="preserve">DECLARACIÓN DE APLICABILIDAD (SoA) — Anexo A completo</t>
  </si>
  <si>
    <t xml:space="preserve">Los 93 controles de ISO/IEC 27001:2022 (basados en ISO/IEC 27002:2022) en sus 4 categorías</t>
  </si>
  <si>
    <t xml:space="preserve">ISO/IEC 27001:2022 + ISO 31000:2018  |  SoA — Statement of Applicability  |  Toolkit de Implementación v1.0</t>
  </si>
  <si>
    <t xml:space="preserve">Control</t>
  </si>
  <si>
    <t xml:space="preserve">Nombre</t>
  </si>
  <si>
    <t xml:space="preserve">¿Aplica? ▼</t>
  </si>
  <si>
    <t xml:space="preserve">Justificación / Riesgo vinculado</t>
  </si>
  <si>
    <t xml:space="preserve">Estado implementación</t>
  </si>
  <si>
    <t xml:space="preserve">Madurez ▼</t>
  </si>
  <si>
    <t xml:space="preserve">5.1</t>
  </si>
  <si>
    <t xml:space="preserve">Políticas de seguridad de la información</t>
  </si>
  <si>
    <t xml:space="preserve">Organizacional</t>
  </si>
  <si>
    <t xml:space="preserve">Sí</t>
  </si>
  <si>
    <t xml:space="preserve">No implementado</t>
  </si>
  <si>
    <t xml:space="preserve">5.2</t>
  </si>
  <si>
    <t xml:space="preserve">Roles y responsabilidades de seguridad</t>
  </si>
  <si>
    <t xml:space="preserve">5.3</t>
  </si>
  <si>
    <t xml:space="preserve">Segregación de funciones</t>
  </si>
  <si>
    <t xml:space="preserve">5.4</t>
  </si>
  <si>
    <t xml:space="preserve">Responsabilidades de gestión</t>
  </si>
  <si>
    <t xml:space="preserve">5.5</t>
  </si>
  <si>
    <t xml:space="preserve">Contacto con autoridades</t>
  </si>
  <si>
    <t xml:space="preserve">5.6</t>
  </si>
  <si>
    <t xml:space="preserve">Contacto con grupos de interés especial</t>
  </si>
  <si>
    <t xml:space="preserve">5.7</t>
  </si>
  <si>
    <t xml:space="preserve">Inteligencia de amenazas</t>
  </si>
  <si>
    <t xml:space="preserve">5.8</t>
  </si>
  <si>
    <t xml:space="preserve">Seguridad en gestión de proyectos</t>
  </si>
  <si>
    <t xml:space="preserve">5.9</t>
  </si>
  <si>
    <t xml:space="preserve">Inventario de activos de información</t>
  </si>
  <si>
    <t xml:space="preserve">5.10</t>
  </si>
  <si>
    <t xml:space="preserve">Uso aceptable de activos</t>
  </si>
  <si>
    <t xml:space="preserve">5.11</t>
  </si>
  <si>
    <t xml:space="preserve">Devolución de activos</t>
  </si>
  <si>
    <t xml:space="preserve">5.12</t>
  </si>
  <si>
    <t xml:space="preserve">Clasificación de la información</t>
  </si>
  <si>
    <t xml:space="preserve">5.13</t>
  </si>
  <si>
    <t xml:space="preserve">Etiquetado de la información</t>
  </si>
  <si>
    <t xml:space="preserve">5.14</t>
  </si>
  <si>
    <t xml:space="preserve">Transferencia de información</t>
  </si>
  <si>
    <t xml:space="preserve">5.15</t>
  </si>
  <si>
    <t xml:space="preserve">Control de acceso</t>
  </si>
  <si>
    <t xml:space="preserve">5.16</t>
  </si>
  <si>
    <t xml:space="preserve">Gestión de identidades</t>
  </si>
  <si>
    <t xml:space="preserve">5.17</t>
  </si>
  <si>
    <t xml:space="preserve">Información de autenticación</t>
  </si>
  <si>
    <t xml:space="preserve">5.18</t>
  </si>
  <si>
    <t xml:space="preserve">Derechos de acceso</t>
  </si>
  <si>
    <t xml:space="preserve">5.19</t>
  </si>
  <si>
    <t xml:space="preserve">Seguridad en relaciones con proveedores</t>
  </si>
  <si>
    <t xml:space="preserve">5.20</t>
  </si>
  <si>
    <t xml:space="preserve">Seguridad en acuerdos con proveedores</t>
  </si>
  <si>
    <t xml:space="preserve">5.21</t>
  </si>
  <si>
    <t xml:space="preserve">Seguridad en cadena de suministro TIC</t>
  </si>
  <si>
    <t xml:space="preserve">5.22</t>
  </si>
  <si>
    <t xml:space="preserve">Monitoreo y revisión de servicios de proveedores</t>
  </si>
  <si>
    <t xml:space="preserve">5.23</t>
  </si>
  <si>
    <t xml:space="preserve">Seguridad para uso de servicios en la nube</t>
  </si>
  <si>
    <t xml:space="preserve">5.24</t>
  </si>
  <si>
    <t xml:space="preserve">Planificación de gestión de incidentes</t>
  </si>
  <si>
    <t xml:space="preserve">5.25</t>
  </si>
  <si>
    <t xml:space="preserve">Evaluación y decisión sobre eventos de seguridad</t>
  </si>
  <si>
    <t xml:space="preserve">5.26</t>
  </si>
  <si>
    <t xml:space="preserve">Respuesta a incidentes de seguridad</t>
  </si>
  <si>
    <t xml:space="preserve">5.27</t>
  </si>
  <si>
    <t xml:space="preserve">Aprendizaje de incidentes de seguridad</t>
  </si>
  <si>
    <t xml:space="preserve">5.28</t>
  </si>
  <si>
    <t xml:space="preserve">Recolección de evidencia</t>
  </si>
  <si>
    <t xml:space="preserve">5.29</t>
  </si>
  <si>
    <t xml:space="preserve">Seguridad durante interrupciones</t>
  </si>
  <si>
    <t xml:space="preserve">5.30</t>
  </si>
  <si>
    <t xml:space="preserve">Preparación TIC para continuidad del negocio</t>
  </si>
  <si>
    <t xml:space="preserve">5.31</t>
  </si>
  <si>
    <t xml:space="preserve">Requisitos legales, estatutarios y contractuales</t>
  </si>
  <si>
    <t xml:space="preserve">5.32</t>
  </si>
  <si>
    <t xml:space="preserve">Derechos de propiedad intelectual</t>
  </si>
  <si>
    <t xml:space="preserve">5.33</t>
  </si>
  <si>
    <t xml:space="preserve">Protección de registros</t>
  </si>
  <si>
    <t xml:space="preserve">5.34</t>
  </si>
  <si>
    <t xml:space="preserve">Privacidad y protección de datos personales</t>
  </si>
  <si>
    <t xml:space="preserve">5.35</t>
  </si>
  <si>
    <t xml:space="preserve">Revisión independiente de seguridad</t>
  </si>
  <si>
    <t xml:space="preserve">5.36</t>
  </si>
  <si>
    <t xml:space="preserve">Cumplimiento de políticas y normas</t>
  </si>
  <si>
    <t xml:space="preserve">5.37</t>
  </si>
  <si>
    <t xml:space="preserve">Procedimientos operativos documentados</t>
  </si>
  <si>
    <t xml:space="preserve">6.1</t>
  </si>
  <si>
    <t xml:space="preserve">Selección de personal (screening)</t>
  </si>
  <si>
    <t xml:space="preserve">6.2</t>
  </si>
  <si>
    <t xml:space="preserve">Términos y condiciones del empleo</t>
  </si>
  <si>
    <t xml:space="preserve">6.3</t>
  </si>
  <si>
    <t xml:space="preserve">Concientización, educación y capacitación</t>
  </si>
  <si>
    <t xml:space="preserve">6.4</t>
  </si>
  <si>
    <t xml:space="preserve">Proceso disciplinario</t>
  </si>
  <si>
    <t xml:space="preserve">6.5</t>
  </si>
  <si>
    <t xml:space="preserve">Responsabilidades tras finalización del empleo</t>
  </si>
  <si>
    <t xml:space="preserve">6.6</t>
  </si>
  <si>
    <t xml:space="preserve">Acuerdos de confidencialidad</t>
  </si>
  <si>
    <t xml:space="preserve">6.7</t>
  </si>
  <si>
    <t xml:space="preserve">Trabajo remoto</t>
  </si>
  <si>
    <t xml:space="preserve">6.8</t>
  </si>
  <si>
    <t xml:space="preserve">Reporte de eventos de seguridad</t>
  </si>
  <si>
    <t xml:space="preserve">7.1</t>
  </si>
  <si>
    <t xml:space="preserve">Perímetros de seguridad física</t>
  </si>
  <si>
    <t xml:space="preserve">Físico</t>
  </si>
  <si>
    <t xml:space="preserve">7.2</t>
  </si>
  <si>
    <t xml:space="preserve">Entrada física</t>
  </si>
  <si>
    <t xml:space="preserve">7.3</t>
  </si>
  <si>
    <t xml:space="preserve">Seguridad de oficinas y recintos</t>
  </si>
  <si>
    <t xml:space="preserve">7.4</t>
  </si>
  <si>
    <t xml:space="preserve">Monitoreo de seguridad física</t>
  </si>
  <si>
    <t xml:space="preserve">7.5</t>
  </si>
  <si>
    <t xml:space="preserve">Protección contra amenazas físicas y ambientales</t>
  </si>
  <si>
    <t xml:space="preserve">7.6</t>
  </si>
  <si>
    <t xml:space="preserve">Trabajo en áreas seguras</t>
  </si>
  <si>
    <t xml:space="preserve">7.7</t>
  </si>
  <si>
    <t xml:space="preserve">Escritorio y pantalla limpios</t>
  </si>
  <si>
    <t xml:space="preserve">7.8</t>
  </si>
  <si>
    <t xml:space="preserve">Ubicación y protección de equipos</t>
  </si>
  <si>
    <t xml:space="preserve">7.9</t>
  </si>
  <si>
    <t xml:space="preserve">Seguridad de activos fuera de instalaciones</t>
  </si>
  <si>
    <t xml:space="preserve">7.10</t>
  </si>
  <si>
    <t xml:space="preserve">Medios de almacenamiento</t>
  </si>
  <si>
    <t xml:space="preserve">7.11</t>
  </si>
  <si>
    <t xml:space="preserve">Servicios de soporte (suministros)</t>
  </si>
  <si>
    <t xml:space="preserve">7.12</t>
  </si>
  <si>
    <t xml:space="preserve">Seguridad del cableado</t>
  </si>
  <si>
    <t xml:space="preserve">7.13</t>
  </si>
  <si>
    <t xml:space="preserve">Mantenimiento de equipos</t>
  </si>
  <si>
    <t xml:space="preserve">7.14</t>
  </si>
  <si>
    <t xml:space="preserve">Eliminación o reutilización segura de equipos</t>
  </si>
  <si>
    <t xml:space="preserve">8.1</t>
  </si>
  <si>
    <t xml:space="preserve">Dispositivos de punto final de usuario</t>
  </si>
  <si>
    <t xml:space="preserve">Tecnológico</t>
  </si>
  <si>
    <t xml:space="preserve">8.2</t>
  </si>
  <si>
    <t xml:space="preserve">Derechos de acceso privilegiado</t>
  </si>
  <si>
    <t xml:space="preserve">8.3</t>
  </si>
  <si>
    <t xml:space="preserve">Restricción de acceso a la información</t>
  </si>
  <si>
    <t xml:space="preserve">8.4</t>
  </si>
  <si>
    <t xml:space="preserve">Acceso al código fuente</t>
  </si>
  <si>
    <t xml:space="preserve">8.5</t>
  </si>
  <si>
    <t xml:space="preserve">Autenticación segura</t>
  </si>
  <si>
    <t xml:space="preserve">8.6</t>
  </si>
  <si>
    <t xml:space="preserve">Gestión de capacidad</t>
  </si>
  <si>
    <t xml:space="preserve">8.7</t>
  </si>
  <si>
    <t xml:space="preserve">Protección contra malware</t>
  </si>
  <si>
    <t xml:space="preserve">8.8</t>
  </si>
  <si>
    <t xml:space="preserve">Gestión de vulnerabilidades técnicas</t>
  </si>
  <si>
    <t xml:space="preserve">8.9</t>
  </si>
  <si>
    <t xml:space="preserve">Gestión de configuración</t>
  </si>
  <si>
    <t xml:space="preserve">8.10</t>
  </si>
  <si>
    <t xml:space="preserve">Eliminación de información</t>
  </si>
  <si>
    <t xml:space="preserve">8.11</t>
  </si>
  <si>
    <t xml:space="preserve">Enmascaramiento de datos</t>
  </si>
  <si>
    <t xml:space="preserve">8.12</t>
  </si>
  <si>
    <t xml:space="preserve">Prevención de fuga de datos (DLP)</t>
  </si>
  <si>
    <t xml:space="preserve">8.13</t>
  </si>
  <si>
    <t xml:space="preserve">Copias de seguridad (backups)</t>
  </si>
  <si>
    <t xml:space="preserve">8.14</t>
  </si>
  <si>
    <t xml:space="preserve">Redundancia de instalaciones de procesamiento</t>
  </si>
  <si>
    <t xml:space="preserve">8.15</t>
  </si>
  <si>
    <t xml:space="preserve">Registro de eventos (logging)</t>
  </si>
  <si>
    <t xml:space="preserve">8.16</t>
  </si>
  <si>
    <t xml:space="preserve">Monitoreo de actividades</t>
  </si>
  <si>
    <t xml:space="preserve">8.17</t>
  </si>
  <si>
    <t xml:space="preserve">Sincronización de relojes</t>
  </si>
  <si>
    <t xml:space="preserve">8.18</t>
  </si>
  <si>
    <t xml:space="preserve">Uso de programas utilitarios privilegiados</t>
  </si>
  <si>
    <t xml:space="preserve">8.19</t>
  </si>
  <si>
    <t xml:space="preserve">Instalación de software en sistemas operativos</t>
  </si>
  <si>
    <t xml:space="preserve">8.20</t>
  </si>
  <si>
    <t xml:space="preserve">Seguridad de redes</t>
  </si>
  <si>
    <t xml:space="preserve">8.21</t>
  </si>
  <si>
    <t xml:space="preserve">Seguridad de servicios de red</t>
  </si>
  <si>
    <t xml:space="preserve">8.22</t>
  </si>
  <si>
    <t xml:space="preserve">Segregación de redes</t>
  </si>
  <si>
    <t xml:space="preserve">8.23</t>
  </si>
  <si>
    <t xml:space="preserve">Filtrado web</t>
  </si>
  <si>
    <t xml:space="preserve">8.24</t>
  </si>
  <si>
    <t xml:space="preserve">Uso de criptografía</t>
  </si>
  <si>
    <t xml:space="preserve">8.25</t>
  </si>
  <si>
    <t xml:space="preserve">Ciclo de vida de desarrollo seguro</t>
  </si>
  <si>
    <t xml:space="preserve">8.26</t>
  </si>
  <si>
    <t xml:space="preserve">Requisitos de seguridad de aplicaciones</t>
  </si>
  <si>
    <t xml:space="preserve">8.27</t>
  </si>
  <si>
    <t xml:space="preserve">Arquitectura segura e ingeniería de sistemas</t>
  </si>
  <si>
    <t xml:space="preserve">8.28</t>
  </si>
  <si>
    <t xml:space="preserve">Codificación segura</t>
  </si>
  <si>
    <t xml:space="preserve">8.29</t>
  </si>
  <si>
    <t xml:space="preserve">Pruebas de seguridad en desarrollo y aceptación</t>
  </si>
  <si>
    <t xml:space="preserve">8.30</t>
  </si>
  <si>
    <t xml:space="preserve">Desarrollo subcontratado (outsourcing)</t>
  </si>
  <si>
    <t xml:space="preserve">8.31</t>
  </si>
  <si>
    <t xml:space="preserve">Separación de entornos (dev/test/prod)</t>
  </si>
  <si>
    <t xml:space="preserve">8.32</t>
  </si>
  <si>
    <t xml:space="preserve">Gestión de cambios</t>
  </si>
  <si>
    <t xml:space="preserve">8.33</t>
  </si>
  <si>
    <t xml:space="preserve">Información de prueba (test data)</t>
  </si>
  <si>
    <t xml:space="preserve">8.34</t>
  </si>
  <si>
    <t xml:space="preserve">Protección de sistemas durante auditorías</t>
  </si>
  <si>
    <t xml:space="preserve">Total de controles del Anexo A 2022: 93 (37 Organizacionales · 8 Personas · 14 Físicos · 34 Tecnológicos) — completar columnas E,F,G,H</t>
  </si>
  <si>
    <t xml:space="preserve">ROADMAP DE IMPLEMENTACIÓN — 12 meses</t>
  </si>
  <si>
    <t xml:space="preserve">Plan trimestral hacia la certificación ISO/IEC 27001:2022</t>
  </si>
  <si>
    <t xml:space="preserve">ISO/IEC 27001:2022 + ISO 31000:2018  |  Roadmap  |  Toolkit de Implementación v1.0</t>
  </si>
  <si>
    <t xml:space="preserve">Q1 (Meses 1-3)
FUNDAMENTOS</t>
  </si>
  <si>
    <t xml:space="preserve">Q2 (Meses 4-6)
CONTROLES TÉCNICOS</t>
  </si>
  <si>
    <t xml:space="preserve">Q3 (Meses 7-9)
MADURACIÓN</t>
  </si>
  <si>
    <t xml:space="preserve">Q4 (Meses 10-12)
CERTIFICACIÓN</t>
  </si>
  <si>
    <t xml:space="preserve">• Gap analysis inicial
• Definir alcance y política SGSI
• Inventario de activos
• MFA en sistemas críticos
• Evaluación de riesgos fase 1</t>
  </si>
  <si>
    <t xml:space="preserve">• Backups + pruebas restauración
• RBAC y gestión de accesos
• DevSecOps (SAST/DAST)
• Cifrado de datos sensibles
• Gestión de proveedores</t>
  </si>
  <si>
    <t xml:space="preserve">• Programa de concientización
• SIEM y monitoreo
• Pentesting externo
• Plan de continuidad (BCP)
• Auditoría interna</t>
  </si>
  <si>
    <t xml:space="preserve">• Cierre de no conformidades
• Revisión por la Dirección
• Actualizar SoA y documentación
• Auditoría Stage 1
• Auditoría Stage 2 → CERTIFICACIÓN</t>
  </si>
  <si>
    <t xml:space="preserve">DASHBOARD EJECUTIVO — SGSI ISO 27001:2022</t>
  </si>
  <si>
    <t xml:space="preserve">Indicadores actualizados automáticamente desde las hojas de Activos, Riesgos y SoA</t>
  </si>
  <si>
    <t xml:space="preserve">ISO/IEC 27001:2022 + ISO 31000:2018  |  Dashboard  |  Toolkit de Implementación v1.0</t>
  </si>
  <si>
    <t xml:space="preserve">Activos
Inventariados</t>
  </si>
  <si>
    <t xml:space="preserve">Activos
Críticos</t>
  </si>
  <si>
    <t xml:space="preserve">Riesgos
Identificados</t>
  </si>
  <si>
    <t xml:space="preserve">Riesgos
Críticos (≥16)</t>
  </si>
  <si>
    <t xml:space="preserve">Controles SoA
Implementados</t>
  </si>
  <si>
    <t xml:space="preserve">Total Controles
Anexo A</t>
  </si>
  <si>
    <t xml:space="preserve">📊  DISTRIBUCIÓN DE RIESGOS POR NIVEL</t>
  </si>
  <si>
    <t xml:space="preserve">Nivel</t>
  </si>
  <si>
    <t xml:space="preserve">Cantidad</t>
  </si>
  <si>
    <t xml:space="preserve">%</t>
  </si>
  <si>
    <t xml:space="preserve">BAJO</t>
  </si>
  <si>
    <t xml:space="preserve">🗂  CONTROLES DEL ANEXO A POR CATEGORÍA</t>
  </si>
  <si>
    <t xml:space="preserve">Total controles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</si>
</sst>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8"/>
      <color rgb="FFB4530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8"/>
      <color rgb="FF2E5DA6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E67C13"/>
      <name val="Arial"/>
      <family val="0"/>
      <charset val="1"/>
    </font>
    <font>
      <b val="true"/>
      <sz val="9"/>
      <color rgb="FFE67C13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b val="true"/>
      <sz val="8"/>
      <color rgb="FF1E7B34"/>
      <name val="Arial"/>
      <family val="0"/>
      <charset val="1"/>
    </font>
    <font>
      <b val="true"/>
      <sz val="8"/>
      <color rgb="FFE67C13"/>
      <name val="Arial"/>
      <family val="0"/>
      <charset val="1"/>
    </font>
    <font>
      <b val="true"/>
      <sz val="9"/>
      <color rgb="FF1E7B34"/>
      <name val="Arial"/>
      <family val="0"/>
      <charset val="1"/>
    </font>
    <font>
      <b val="true"/>
      <sz val="9"/>
      <color rgb="FF2E5DA6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404040"/>
      <name val="Arial"/>
      <family val="0"/>
      <charset val="1"/>
    </font>
    <font>
      <b val="true"/>
      <sz val="9"/>
      <color rgb="FF6B2FA0"/>
      <name val="Arial"/>
      <family val="0"/>
      <charset val="1"/>
    </font>
    <font>
      <b val="true"/>
      <sz val="8"/>
      <color rgb="FF6B2FA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DA6"/>
        <bgColor rgb="FF3366FF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CE4D0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CE4D0"/>
      </patternFill>
    </fill>
    <fill>
      <patternFill patternType="solid">
        <fgColor rgb="FFFCE4D0"/>
        <bgColor rgb="FFFFE0E0"/>
      </patternFill>
    </fill>
    <fill>
      <patternFill patternType="solid">
        <fgColor rgb="FF404040"/>
        <bgColor rgb="FF1F3864"/>
      </patternFill>
    </fill>
    <fill>
      <patternFill patternType="solid">
        <fgColor rgb="FFD5E8D4"/>
        <bgColor rgb="FFD6E4F0"/>
      </patternFill>
    </fill>
    <fill>
      <patternFill patternType="solid">
        <fgColor rgb="FFE67C13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D6E4F0"/>
        <bgColor rgb="FFD5E8D4"/>
      </patternFill>
    </fill>
    <fill>
      <patternFill patternType="solid">
        <fgColor rgb="FFEAD9F7"/>
        <bgColor rgb="FFD6E4F0"/>
      </patternFill>
    </fill>
    <fill>
      <patternFill patternType="solid">
        <fgColor rgb="FF1E7B34"/>
        <bgColor rgb="FF008080"/>
      </patternFill>
    </fill>
    <fill>
      <patternFill patternType="solid">
        <fgColor rgb="FF6B2F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2E5DA6"/>
      <rgbColor rgb="FFEAD9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E8D4"/>
      <rgbColor rgb="FFF2F2F2"/>
      <rgbColor rgb="FF99CCFF"/>
      <rgbColor rgb="FFFFE0E0"/>
      <rgbColor rgb="FFCC99FF"/>
      <rgbColor rgb="FFFCE4D0"/>
      <rgbColor rgb="FF3366FF"/>
      <rgbColor rgb="FF33CCCC"/>
      <rgbColor rgb="FF99CC00"/>
      <rgbColor rgb="FFFFCC00"/>
      <rgbColor rgb="FFFF9900"/>
      <rgbColor rgb="FFE67C13"/>
      <rgbColor rgb="FF666699"/>
      <rgbColor rgb="FF969696"/>
      <rgbColor rgb="FF1F3864"/>
      <rgbColor rgb="FF339966"/>
      <rgbColor rgb="FF003300"/>
      <rgbColor rgb="FF333300"/>
      <rgbColor rgb="FFB45309"/>
      <rgbColor rgb="FF993366"/>
      <rgbColor rgb="FF6B2FA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37.5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/>
      <c r="C2" s="2"/>
    </row>
    <row r="3" customFormat="false" ht="18" hidden="false" customHeight="true" outlineLevel="0" collapsed="false">
      <c r="A3" s="3" t="s">
        <v>2</v>
      </c>
      <c r="B3" s="3"/>
      <c r="C3" s="3"/>
    </row>
    <row r="5" customFormat="false" ht="18" hidden="false" customHeight="true" outlineLevel="0" collapsed="false">
      <c r="B5" s="4"/>
      <c r="C5" s="4"/>
    </row>
    <row r="6" customFormat="false" ht="18" hidden="false" customHeight="true" outlineLevel="0" collapsed="false">
      <c r="B6" s="5" t="s">
        <v>3</v>
      </c>
      <c r="C6" s="5"/>
    </row>
    <row r="7" customFormat="false" ht="18" hidden="false" customHeight="true" outlineLevel="0" collapsed="false">
      <c r="B7" s="4" t="s">
        <v>4</v>
      </c>
      <c r="C7" s="4"/>
    </row>
    <row r="8" customFormat="false" ht="18" hidden="false" customHeight="true" outlineLevel="0" collapsed="false">
      <c r="B8" s="4" t="s">
        <v>5</v>
      </c>
      <c r="C8" s="4"/>
    </row>
    <row r="9" customFormat="false" ht="18" hidden="false" customHeight="true" outlineLevel="0" collapsed="false">
      <c r="B9" s="4" t="s">
        <v>6</v>
      </c>
      <c r="C9" s="4"/>
    </row>
    <row r="10" customFormat="false" ht="18" hidden="false" customHeight="true" outlineLevel="0" collapsed="false">
      <c r="B10" s="4" t="s">
        <v>7</v>
      </c>
      <c r="C10" s="4"/>
    </row>
    <row r="11" customFormat="false" ht="18" hidden="false" customHeight="true" outlineLevel="0" collapsed="false">
      <c r="B11" s="4" t="s">
        <v>8</v>
      </c>
      <c r="C11" s="4"/>
    </row>
    <row r="12" customFormat="false" ht="18" hidden="false" customHeight="true" outlineLevel="0" collapsed="false">
      <c r="B12" s="4" t="s">
        <v>9</v>
      </c>
      <c r="C12" s="4"/>
    </row>
    <row r="13" customFormat="false" ht="18" hidden="false" customHeight="true" outlineLevel="0" collapsed="false">
      <c r="B13" s="4" t="s">
        <v>10</v>
      </c>
      <c r="C13" s="4"/>
    </row>
    <row r="14" customFormat="false" ht="18" hidden="false" customHeight="true" outlineLevel="0" collapsed="false">
      <c r="B14" s="4" t="s">
        <v>11</v>
      </c>
      <c r="C14" s="4"/>
    </row>
    <row r="15" customFormat="false" ht="18" hidden="false" customHeight="true" outlineLevel="0" collapsed="false">
      <c r="B15" s="4"/>
      <c r="C15" s="4"/>
    </row>
    <row r="16" customFormat="false" ht="18" hidden="false" customHeight="true" outlineLevel="0" collapsed="false">
      <c r="B16" s="5" t="s">
        <v>12</v>
      </c>
      <c r="C16" s="5"/>
    </row>
    <row r="17" customFormat="false" ht="18" hidden="false" customHeight="true" outlineLevel="0" collapsed="false">
      <c r="B17" s="4" t="s">
        <v>13</v>
      </c>
      <c r="C17" s="4"/>
    </row>
    <row r="18" customFormat="false" ht="18" hidden="false" customHeight="true" outlineLevel="0" collapsed="false">
      <c r="B18" s="4" t="s">
        <v>14</v>
      </c>
      <c r="C18" s="4"/>
    </row>
    <row r="19" customFormat="false" ht="18" hidden="false" customHeight="true" outlineLevel="0" collapsed="false">
      <c r="B19" s="4" t="s">
        <v>15</v>
      </c>
      <c r="C19" s="4"/>
    </row>
    <row r="20" customFormat="false" ht="18" hidden="false" customHeight="true" outlineLevel="0" collapsed="false">
      <c r="B20" s="4"/>
      <c r="C20" s="4"/>
    </row>
    <row r="21" customFormat="false" ht="18" hidden="false" customHeight="true" outlineLevel="0" collapsed="false">
      <c r="B21" s="5" t="s">
        <v>16</v>
      </c>
      <c r="C21" s="5"/>
    </row>
    <row r="22" customFormat="false" ht="18" hidden="false" customHeight="true" outlineLevel="0" collapsed="false">
      <c r="B22" s="4" t="s">
        <v>17</v>
      </c>
      <c r="C22" s="4"/>
    </row>
    <row r="23" customFormat="false" ht="18" hidden="false" customHeight="true" outlineLevel="0" collapsed="false">
      <c r="B23" s="4" t="s">
        <v>18</v>
      </c>
      <c r="C23" s="4"/>
    </row>
    <row r="24" customFormat="false" ht="18" hidden="false" customHeight="true" outlineLevel="0" collapsed="false">
      <c r="B24" s="4"/>
      <c r="C24" s="4"/>
    </row>
    <row r="25" customFormat="false" ht="18" hidden="false" customHeight="true" outlineLevel="0" collapsed="false">
      <c r="B25" s="5" t="s">
        <v>19</v>
      </c>
      <c r="C25" s="5"/>
    </row>
    <row r="26" customFormat="false" ht="18" hidden="false" customHeight="true" outlineLevel="0" collapsed="false">
      <c r="B26" s="4" t="s">
        <v>20</v>
      </c>
      <c r="C26" s="4"/>
    </row>
    <row r="27" customFormat="false" ht="18" hidden="false" customHeight="true" outlineLevel="0" collapsed="false">
      <c r="B27" s="4" t="s">
        <v>21</v>
      </c>
      <c r="C27" s="4"/>
    </row>
    <row r="28" customFormat="false" ht="18" hidden="false" customHeight="true" outlineLevel="0" collapsed="false">
      <c r="B28" s="4" t="s">
        <v>22</v>
      </c>
      <c r="C28" s="4"/>
    </row>
    <row r="29" customFormat="false" ht="18" hidden="false" customHeight="true" outlineLevel="0" collapsed="false">
      <c r="B29" s="4"/>
      <c r="C29" s="4"/>
    </row>
    <row r="30" customFormat="false" ht="18" hidden="false" customHeight="true" outlineLevel="0" collapsed="false">
      <c r="B30" s="5" t="s">
        <v>23</v>
      </c>
      <c r="C30" s="5"/>
    </row>
    <row r="31" customFormat="false" ht="18" hidden="false" customHeight="true" outlineLevel="0" collapsed="false">
      <c r="B31" s="4" t="s">
        <v>24</v>
      </c>
      <c r="C31" s="4"/>
    </row>
    <row r="32" customFormat="false" ht="18" hidden="false" customHeight="true" outlineLevel="0" collapsed="false">
      <c r="B32" s="4" t="s">
        <v>25</v>
      </c>
      <c r="C32" s="4"/>
    </row>
    <row r="33" customFormat="false" ht="18" hidden="false" customHeight="true" outlineLevel="0" collapsed="false">
      <c r="B33" s="4" t="s">
        <v>26</v>
      </c>
      <c r="C33" s="4"/>
    </row>
    <row r="34" customFormat="false" ht="18" hidden="false" customHeight="true" outlineLevel="0" collapsed="false">
      <c r="B34" s="4" t="s">
        <v>27</v>
      </c>
      <c r="C34" s="4"/>
    </row>
    <row r="35" customFormat="false" ht="18" hidden="false" customHeight="true" outlineLevel="0" collapsed="false">
      <c r="B35" s="4" t="s">
        <v>28</v>
      </c>
      <c r="C35" s="4"/>
    </row>
    <row r="36" customFormat="false" ht="18" hidden="false" customHeight="true" outlineLevel="0" collapsed="false">
      <c r="B36" s="4" t="s">
        <v>29</v>
      </c>
      <c r="C36" s="4"/>
    </row>
    <row r="37" customFormat="false" ht="18" hidden="false" customHeight="true" outlineLevel="0" collapsed="false">
      <c r="B37" s="4"/>
      <c r="C37" s="4"/>
    </row>
    <row r="38" customFormat="false" ht="18" hidden="false" customHeight="true" outlineLevel="0" collapsed="false">
      <c r="B38" s="5" t="s">
        <v>30</v>
      </c>
      <c r="C38" s="5"/>
    </row>
  </sheetData>
  <mergeCells count="37">
    <mergeCell ref="A1:C1"/>
    <mergeCell ref="A2:C2"/>
    <mergeCell ref="A3:C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" t="s">
        <v>31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32</v>
      </c>
      <c r="B2" s="2"/>
      <c r="C2" s="2"/>
      <c r="D2" s="2"/>
      <c r="E2" s="2"/>
    </row>
    <row r="3" customFormat="false" ht="18" hidden="false" customHeight="true" outlineLevel="0" collapsed="false">
      <c r="A3" s="3" t="s">
        <v>33</v>
      </c>
      <c r="B3" s="3"/>
      <c r="C3" s="3"/>
      <c r="D3" s="3"/>
      <c r="E3" s="3"/>
    </row>
    <row r="5" customFormat="false" ht="19.5" hidden="false" customHeight="true" outlineLevel="0" collapsed="false">
      <c r="B5" s="6" t="s">
        <v>34</v>
      </c>
      <c r="C5" s="6"/>
      <c r="D5" s="6"/>
      <c r="E5" s="6"/>
    </row>
    <row r="6" customFormat="false" ht="24" hidden="false" customHeight="true" outlineLevel="0" collapsed="false">
      <c r="B6" s="7" t="s">
        <v>35</v>
      </c>
      <c r="C6" s="7" t="s">
        <v>36</v>
      </c>
      <c r="D6" s="7" t="s">
        <v>37</v>
      </c>
      <c r="E6" s="7" t="s">
        <v>38</v>
      </c>
    </row>
    <row r="7" customFormat="false" ht="30" hidden="false" customHeight="true" outlineLevel="0" collapsed="false">
      <c r="B7" s="8" t="s">
        <v>39</v>
      </c>
      <c r="C7" s="9" t="s">
        <v>40</v>
      </c>
      <c r="D7" s="9" t="s">
        <v>41</v>
      </c>
      <c r="E7" s="10"/>
    </row>
    <row r="8" customFormat="false" ht="30" hidden="false" customHeight="true" outlineLevel="0" collapsed="false">
      <c r="B8" s="11" t="s">
        <v>42</v>
      </c>
      <c r="C8" s="12" t="s">
        <v>43</v>
      </c>
      <c r="D8" s="12" t="s">
        <v>44</v>
      </c>
      <c r="E8" s="10"/>
    </row>
    <row r="9" customFormat="false" ht="30" hidden="false" customHeight="true" outlineLevel="0" collapsed="false">
      <c r="B9" s="8" t="s">
        <v>45</v>
      </c>
      <c r="C9" s="9" t="s">
        <v>46</v>
      </c>
      <c r="D9" s="9" t="s">
        <v>47</v>
      </c>
      <c r="E9" s="10"/>
    </row>
    <row r="10" customFormat="false" ht="30" hidden="false" customHeight="true" outlineLevel="0" collapsed="false">
      <c r="B10" s="11" t="s">
        <v>48</v>
      </c>
      <c r="C10" s="12" t="s">
        <v>49</v>
      </c>
      <c r="D10" s="12" t="s">
        <v>50</v>
      </c>
      <c r="E10" s="10"/>
    </row>
    <row r="11" customFormat="false" ht="30" hidden="false" customHeight="true" outlineLevel="0" collapsed="false">
      <c r="B11" s="8" t="s">
        <v>51</v>
      </c>
      <c r="C11" s="9" t="s">
        <v>52</v>
      </c>
      <c r="D11" s="9" t="s">
        <v>53</v>
      </c>
      <c r="E11" s="10"/>
    </row>
    <row r="12" customFormat="false" ht="30" hidden="false" customHeight="true" outlineLevel="0" collapsed="false">
      <c r="B12" s="11" t="s">
        <v>54</v>
      </c>
      <c r="C12" s="12" t="s">
        <v>55</v>
      </c>
      <c r="D12" s="12" t="s">
        <v>56</v>
      </c>
      <c r="E12" s="10"/>
    </row>
    <row r="13" customFormat="false" ht="30" hidden="false" customHeight="true" outlineLevel="0" collapsed="false">
      <c r="B13" s="8" t="s">
        <v>57</v>
      </c>
      <c r="C13" s="9" t="s">
        <v>58</v>
      </c>
      <c r="D13" s="9" t="s">
        <v>59</v>
      </c>
      <c r="E13" s="10"/>
    </row>
    <row r="15" customFormat="false" ht="19.5" hidden="false" customHeight="true" outlineLevel="0" collapsed="false">
      <c r="B15" s="6" t="s">
        <v>60</v>
      </c>
      <c r="C15" s="6"/>
      <c r="D15" s="6"/>
      <c r="E15" s="6"/>
    </row>
    <row r="16" customFormat="false" ht="24" hidden="false" customHeight="true" outlineLevel="0" collapsed="false">
      <c r="B16" s="7" t="s">
        <v>35</v>
      </c>
      <c r="C16" s="7" t="s">
        <v>36</v>
      </c>
      <c r="D16" s="7" t="s">
        <v>37</v>
      </c>
      <c r="E16" s="7" t="s">
        <v>38</v>
      </c>
    </row>
    <row r="17" customFormat="false" ht="30" hidden="false" customHeight="true" outlineLevel="0" collapsed="false">
      <c r="B17" s="8" t="s">
        <v>61</v>
      </c>
      <c r="C17" s="9" t="s">
        <v>62</v>
      </c>
      <c r="D17" s="9" t="s">
        <v>63</v>
      </c>
      <c r="E17" s="10"/>
    </row>
    <row r="18" customFormat="false" ht="30" hidden="false" customHeight="true" outlineLevel="0" collapsed="false">
      <c r="B18" s="11" t="s">
        <v>64</v>
      </c>
      <c r="C18" s="12" t="s">
        <v>65</v>
      </c>
      <c r="D18" s="12" t="s">
        <v>66</v>
      </c>
      <c r="E18" s="10"/>
    </row>
    <row r="19" customFormat="false" ht="30" hidden="false" customHeight="true" outlineLevel="0" collapsed="false">
      <c r="B19" s="8" t="s">
        <v>67</v>
      </c>
      <c r="C19" s="9" t="s">
        <v>68</v>
      </c>
      <c r="D19" s="9" t="s">
        <v>69</v>
      </c>
      <c r="E19" s="10"/>
    </row>
    <row r="20" customFormat="false" ht="30" hidden="false" customHeight="true" outlineLevel="0" collapsed="false">
      <c r="B20" s="11" t="s">
        <v>70</v>
      </c>
      <c r="C20" s="12" t="s">
        <v>71</v>
      </c>
      <c r="D20" s="12" t="s">
        <v>72</v>
      </c>
      <c r="E20" s="10"/>
    </row>
    <row r="21" customFormat="false" ht="30" hidden="false" customHeight="true" outlineLevel="0" collapsed="false">
      <c r="B21" s="8" t="s">
        <v>73</v>
      </c>
      <c r="C21" s="9" t="s">
        <v>74</v>
      </c>
      <c r="D21" s="9" t="s">
        <v>75</v>
      </c>
      <c r="E21" s="10"/>
    </row>
    <row r="22" customFormat="false" ht="30" hidden="false" customHeight="true" outlineLevel="0" collapsed="false">
      <c r="B22" s="11" t="s">
        <v>76</v>
      </c>
      <c r="C22" s="12" t="s">
        <v>77</v>
      </c>
      <c r="D22" s="12" t="s">
        <v>78</v>
      </c>
      <c r="E22" s="10"/>
    </row>
    <row r="24" customFormat="false" ht="19.5" hidden="false" customHeight="true" outlineLevel="0" collapsed="false">
      <c r="B24" s="6" t="s">
        <v>79</v>
      </c>
      <c r="C24" s="6"/>
      <c r="D24" s="6"/>
      <c r="E24" s="6"/>
    </row>
    <row r="25" customFormat="false" ht="24" hidden="false" customHeight="true" outlineLevel="0" collapsed="false">
      <c r="B25" s="7" t="s">
        <v>80</v>
      </c>
      <c r="C25" s="7" t="s">
        <v>81</v>
      </c>
      <c r="D25" s="7" t="s">
        <v>82</v>
      </c>
      <c r="E25" s="7" t="s">
        <v>38</v>
      </c>
    </row>
    <row r="26" customFormat="false" ht="30" hidden="false" customHeight="true" outlineLevel="0" collapsed="false">
      <c r="B26" s="8" t="s">
        <v>83</v>
      </c>
      <c r="C26" s="9" t="s">
        <v>84</v>
      </c>
      <c r="D26" s="9" t="s">
        <v>85</v>
      </c>
      <c r="E26" s="10"/>
    </row>
    <row r="27" customFormat="false" ht="30" hidden="false" customHeight="true" outlineLevel="0" collapsed="false">
      <c r="B27" s="11" t="s">
        <v>86</v>
      </c>
      <c r="C27" s="12" t="s">
        <v>87</v>
      </c>
      <c r="D27" s="12" t="s">
        <v>88</v>
      </c>
      <c r="E27" s="10"/>
    </row>
    <row r="28" customFormat="false" ht="30" hidden="false" customHeight="true" outlineLevel="0" collapsed="false">
      <c r="B28" s="8" t="s">
        <v>89</v>
      </c>
      <c r="C28" s="9" t="s">
        <v>90</v>
      </c>
      <c r="D28" s="9" t="s">
        <v>91</v>
      </c>
      <c r="E28" s="10"/>
    </row>
    <row r="29" customFormat="false" ht="30" hidden="false" customHeight="true" outlineLevel="0" collapsed="false">
      <c r="B29" s="11" t="s">
        <v>92</v>
      </c>
      <c r="C29" s="12" t="s">
        <v>93</v>
      </c>
      <c r="D29" s="12" t="s">
        <v>94</v>
      </c>
      <c r="E29" s="10"/>
    </row>
    <row r="30" customFormat="false" ht="30" hidden="false" customHeight="true" outlineLevel="0" collapsed="false">
      <c r="B30" s="8" t="s">
        <v>95</v>
      </c>
      <c r="C30" s="9" t="s">
        <v>96</v>
      </c>
      <c r="D30" s="9" t="s">
        <v>97</v>
      </c>
      <c r="E30" s="10"/>
    </row>
    <row r="31" customFormat="false" ht="30" hidden="false" customHeight="true" outlineLevel="0" collapsed="false">
      <c r="B31" s="11" t="s">
        <v>98</v>
      </c>
      <c r="C31" s="12" t="s">
        <v>99</v>
      </c>
      <c r="D31" s="12" t="s">
        <v>100</v>
      </c>
      <c r="E31" s="10"/>
    </row>
    <row r="33" customFormat="false" ht="19.5" hidden="false" customHeight="true" outlineLevel="0" collapsed="false">
      <c r="B33" s="6" t="s">
        <v>101</v>
      </c>
      <c r="C33" s="6"/>
      <c r="D33" s="6"/>
      <c r="E33" s="6"/>
    </row>
    <row r="34" customFormat="false" ht="90" hidden="false" customHeight="true" outlineLevel="0" collapsed="false">
      <c r="B34" s="13" t="s">
        <v>102</v>
      </c>
      <c r="C34" s="13"/>
      <c r="D34" s="13"/>
      <c r="E34" s="13"/>
    </row>
  </sheetData>
  <mergeCells count="8">
    <mergeCell ref="A1:E1"/>
    <mergeCell ref="A2:E2"/>
    <mergeCell ref="A3:E3"/>
    <mergeCell ref="B5:E5"/>
    <mergeCell ref="B15:E15"/>
    <mergeCell ref="B24:E24"/>
    <mergeCell ref="B33:E33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8" min="6" style="0" width="6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37.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8" hidden="false" customHeight="true" outlineLevel="0" collapsed="false">
      <c r="A3" s="3" t="s">
        <v>105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6" hidden="false" customHeight="true" outlineLevel="0" collapsed="false">
      <c r="A5" s="7" t="s">
        <v>106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112</v>
      </c>
      <c r="H5" s="7" t="s">
        <v>113</v>
      </c>
      <c r="I5" s="7" t="s">
        <v>114</v>
      </c>
      <c r="J5" s="7" t="s">
        <v>115</v>
      </c>
      <c r="K5" s="7" t="s">
        <v>116</v>
      </c>
      <c r="L5" s="7" t="s">
        <v>117</v>
      </c>
    </row>
    <row r="6" customFormat="false" ht="24" hidden="false" customHeight="true" outlineLevel="0" collapsed="false">
      <c r="A6" s="14" t="n">
        <v>1</v>
      </c>
      <c r="B6" s="14" t="s">
        <v>118</v>
      </c>
      <c r="C6" s="15" t="s">
        <v>119</v>
      </c>
      <c r="D6" s="16" t="s">
        <v>120</v>
      </c>
      <c r="E6" s="16" t="s">
        <v>121</v>
      </c>
      <c r="F6" s="17" t="n">
        <v>3</v>
      </c>
      <c r="G6" s="17" t="n">
        <v>3</v>
      </c>
      <c r="H6" s="17" t="n">
        <v>3</v>
      </c>
      <c r="I6" s="18" t="n">
        <f aca="false">F6+G6+H6</f>
        <v>9</v>
      </c>
      <c r="J6" s="19" t="s">
        <v>122</v>
      </c>
      <c r="K6" s="16" t="s">
        <v>123</v>
      </c>
      <c r="L6" s="20" t="s">
        <v>108</v>
      </c>
    </row>
    <row r="7" customFormat="false" ht="24" hidden="false" customHeight="true" outlineLevel="0" collapsed="false">
      <c r="A7" s="21" t="n">
        <v>2</v>
      </c>
      <c r="B7" s="21" t="s">
        <v>124</v>
      </c>
      <c r="C7" s="11" t="s">
        <v>125</v>
      </c>
      <c r="D7" s="12" t="s">
        <v>120</v>
      </c>
      <c r="E7" s="12" t="s">
        <v>126</v>
      </c>
      <c r="F7" s="17" t="n">
        <v>3</v>
      </c>
      <c r="G7" s="17" t="n">
        <v>3</v>
      </c>
      <c r="H7" s="17" t="n">
        <v>2</v>
      </c>
      <c r="I7" s="18" t="n">
        <f aca="false">F7+G7+H7</f>
        <v>8</v>
      </c>
      <c r="J7" s="19" t="s">
        <v>122</v>
      </c>
      <c r="K7" s="12" t="s">
        <v>127</v>
      </c>
      <c r="L7" s="20" t="s">
        <v>108</v>
      </c>
    </row>
    <row r="8" customFormat="false" ht="24" hidden="false" customHeight="true" outlineLevel="0" collapsed="false">
      <c r="A8" s="14" t="n">
        <v>3</v>
      </c>
      <c r="B8" s="14" t="s">
        <v>128</v>
      </c>
      <c r="C8" s="15" t="s">
        <v>129</v>
      </c>
      <c r="D8" s="16" t="s">
        <v>130</v>
      </c>
      <c r="E8" s="16" t="s">
        <v>131</v>
      </c>
      <c r="F8" s="17" t="n">
        <v>3</v>
      </c>
      <c r="G8" s="17" t="n">
        <v>3</v>
      </c>
      <c r="H8" s="17" t="n">
        <v>2</v>
      </c>
      <c r="I8" s="18" t="n">
        <f aca="false">F8+G8+H8</f>
        <v>8</v>
      </c>
      <c r="J8" s="19" t="s">
        <v>122</v>
      </c>
      <c r="K8" s="16" t="s">
        <v>132</v>
      </c>
      <c r="L8" s="20" t="s">
        <v>108</v>
      </c>
    </row>
    <row r="9" customFormat="false" ht="24" hidden="false" customHeight="true" outlineLevel="0" collapsed="false">
      <c r="A9" s="21" t="n">
        <v>4</v>
      </c>
      <c r="B9" s="21" t="s">
        <v>133</v>
      </c>
      <c r="C9" s="11" t="s">
        <v>134</v>
      </c>
      <c r="D9" s="12" t="s">
        <v>120</v>
      </c>
      <c r="E9" s="12" t="s">
        <v>135</v>
      </c>
      <c r="F9" s="17" t="n">
        <v>3</v>
      </c>
      <c r="G9" s="17" t="n">
        <v>3</v>
      </c>
      <c r="H9" s="17" t="n">
        <v>2</v>
      </c>
      <c r="I9" s="18" t="n">
        <f aca="false">F9+G9+H9</f>
        <v>8</v>
      </c>
      <c r="J9" s="19" t="s">
        <v>122</v>
      </c>
      <c r="K9" s="12" t="s">
        <v>136</v>
      </c>
      <c r="L9" s="20" t="s">
        <v>108</v>
      </c>
    </row>
    <row r="10" customFormat="false" ht="24" hidden="false" customHeight="true" outlineLevel="0" collapsed="false">
      <c r="A10" s="14" t="n">
        <v>5</v>
      </c>
      <c r="B10" s="14" t="s">
        <v>137</v>
      </c>
      <c r="C10" s="15" t="s">
        <v>138</v>
      </c>
      <c r="D10" s="16" t="s">
        <v>120</v>
      </c>
      <c r="E10" s="16" t="s">
        <v>139</v>
      </c>
      <c r="F10" s="17" t="n">
        <v>3</v>
      </c>
      <c r="G10" s="17" t="n">
        <v>3</v>
      </c>
      <c r="H10" s="17" t="n">
        <v>2</v>
      </c>
      <c r="I10" s="18" t="n">
        <f aca="false">F10+G10+H10</f>
        <v>8</v>
      </c>
      <c r="J10" s="19" t="s">
        <v>122</v>
      </c>
      <c r="K10" s="16" t="s">
        <v>140</v>
      </c>
      <c r="L10" s="20" t="s">
        <v>108</v>
      </c>
    </row>
    <row r="11" customFormat="false" ht="24" hidden="false" customHeight="true" outlineLevel="0" collapsed="false">
      <c r="A11" s="21" t="n">
        <v>6</v>
      </c>
      <c r="B11" s="21" t="s">
        <v>141</v>
      </c>
      <c r="C11" s="11" t="s">
        <v>142</v>
      </c>
      <c r="D11" s="12" t="s">
        <v>143</v>
      </c>
      <c r="E11" s="12" t="s">
        <v>131</v>
      </c>
      <c r="F11" s="17" t="n">
        <v>2</v>
      </c>
      <c r="G11" s="17" t="n">
        <v>3</v>
      </c>
      <c r="H11" s="17" t="n">
        <v>3</v>
      </c>
      <c r="I11" s="18" t="n">
        <f aca="false">F11+G11+H11</f>
        <v>8</v>
      </c>
      <c r="J11" s="19" t="s">
        <v>122</v>
      </c>
      <c r="K11" s="12" t="s">
        <v>144</v>
      </c>
      <c r="L11" s="20" t="s">
        <v>108</v>
      </c>
    </row>
    <row r="12" customFormat="false" ht="24" hidden="false" customHeight="true" outlineLevel="0" collapsed="false">
      <c r="A12" s="14" t="n">
        <v>7</v>
      </c>
      <c r="B12" s="14" t="s">
        <v>145</v>
      </c>
      <c r="C12" s="15" t="s">
        <v>146</v>
      </c>
      <c r="D12" s="16" t="s">
        <v>143</v>
      </c>
      <c r="E12" s="16" t="s">
        <v>131</v>
      </c>
      <c r="F12" s="17" t="n">
        <v>2</v>
      </c>
      <c r="G12" s="17" t="n">
        <v>3</v>
      </c>
      <c r="H12" s="17" t="n">
        <v>3</v>
      </c>
      <c r="I12" s="18" t="n">
        <f aca="false">F12+G12+H12</f>
        <v>8</v>
      </c>
      <c r="J12" s="19" t="s">
        <v>122</v>
      </c>
      <c r="K12" s="16" t="s">
        <v>147</v>
      </c>
      <c r="L12" s="20" t="s">
        <v>108</v>
      </c>
    </row>
    <row r="13" customFormat="false" ht="24" hidden="false" customHeight="true" outlineLevel="0" collapsed="false">
      <c r="A13" s="21" t="n">
        <v>8</v>
      </c>
      <c r="B13" s="21" t="s">
        <v>148</v>
      </c>
      <c r="C13" s="11" t="s">
        <v>149</v>
      </c>
      <c r="D13" s="12" t="s">
        <v>143</v>
      </c>
      <c r="E13" s="12" t="s">
        <v>150</v>
      </c>
      <c r="F13" s="17" t="n">
        <v>2</v>
      </c>
      <c r="G13" s="17" t="n">
        <v>2</v>
      </c>
      <c r="H13" s="17" t="n">
        <v>2</v>
      </c>
      <c r="I13" s="22" t="n">
        <f aca="false">F13+G13+H13</f>
        <v>6</v>
      </c>
      <c r="J13" s="23" t="s">
        <v>151</v>
      </c>
      <c r="K13" s="12" t="s">
        <v>152</v>
      </c>
      <c r="L13" s="20" t="s">
        <v>108</v>
      </c>
    </row>
    <row r="14" customFormat="false" ht="24" hidden="false" customHeight="true" outlineLevel="0" collapsed="false">
      <c r="A14" s="14" t="n">
        <v>9</v>
      </c>
      <c r="B14" s="14" t="s">
        <v>153</v>
      </c>
      <c r="C14" s="15" t="s">
        <v>154</v>
      </c>
      <c r="D14" s="16" t="s">
        <v>143</v>
      </c>
      <c r="E14" s="16" t="s">
        <v>155</v>
      </c>
      <c r="F14" s="17" t="n">
        <v>2</v>
      </c>
      <c r="G14" s="17" t="n">
        <v>2</v>
      </c>
      <c r="H14" s="17" t="n">
        <v>2</v>
      </c>
      <c r="I14" s="22" t="n">
        <f aca="false">F14+G14+H14</f>
        <v>6</v>
      </c>
      <c r="J14" s="23" t="s">
        <v>151</v>
      </c>
      <c r="K14" s="16" t="s">
        <v>152</v>
      </c>
      <c r="L14" s="20" t="s">
        <v>108</v>
      </c>
    </row>
    <row r="15" customFormat="false" ht="24" hidden="false" customHeight="true" outlineLevel="0" collapsed="false">
      <c r="A15" s="21" t="n">
        <v>10</v>
      </c>
      <c r="B15" s="21" t="s">
        <v>156</v>
      </c>
      <c r="C15" s="11" t="s">
        <v>157</v>
      </c>
      <c r="D15" s="12" t="s">
        <v>158</v>
      </c>
      <c r="E15" s="12" t="s">
        <v>131</v>
      </c>
      <c r="F15" s="17" t="n">
        <v>3</v>
      </c>
      <c r="G15" s="17" t="n">
        <v>2</v>
      </c>
      <c r="H15" s="17" t="n">
        <v>3</v>
      </c>
      <c r="I15" s="18" t="n">
        <f aca="false">F15+G15+H15</f>
        <v>8</v>
      </c>
      <c r="J15" s="19" t="s">
        <v>122</v>
      </c>
      <c r="K15" s="12" t="s">
        <v>159</v>
      </c>
      <c r="L15" s="20" t="s">
        <v>108</v>
      </c>
    </row>
    <row r="16" customFormat="false" ht="24" hidden="false" customHeight="true" outlineLevel="0" collapsed="false">
      <c r="A16" s="14" t="n">
        <v>11</v>
      </c>
      <c r="B16" s="14" t="s">
        <v>160</v>
      </c>
      <c r="C16" s="15" t="s">
        <v>161</v>
      </c>
      <c r="D16" s="16" t="s">
        <v>162</v>
      </c>
      <c r="E16" s="16" t="s">
        <v>163</v>
      </c>
      <c r="F16" s="17" t="n">
        <v>3</v>
      </c>
      <c r="G16" s="17" t="n">
        <v>2</v>
      </c>
      <c r="H16" s="17" t="n">
        <v>2</v>
      </c>
      <c r="I16" s="22" t="n">
        <f aca="false">F16+G16+H16</f>
        <v>7</v>
      </c>
      <c r="J16" s="23" t="s">
        <v>151</v>
      </c>
      <c r="K16" s="16" t="s">
        <v>164</v>
      </c>
      <c r="L16" s="20" t="s">
        <v>108</v>
      </c>
    </row>
    <row r="17" customFormat="false" ht="24" hidden="false" customHeight="true" outlineLevel="0" collapsed="false">
      <c r="A17" s="21" t="n">
        <v>12</v>
      </c>
      <c r="B17" s="21" t="s">
        <v>165</v>
      </c>
      <c r="C17" s="11" t="s">
        <v>166</v>
      </c>
      <c r="D17" s="12" t="s">
        <v>162</v>
      </c>
      <c r="E17" s="12" t="s">
        <v>131</v>
      </c>
      <c r="F17" s="17" t="n">
        <v>3</v>
      </c>
      <c r="G17" s="17" t="n">
        <v>3</v>
      </c>
      <c r="H17" s="17" t="n">
        <v>3</v>
      </c>
      <c r="I17" s="18" t="n">
        <f aca="false">F17+G17+H17</f>
        <v>9</v>
      </c>
      <c r="J17" s="19" t="s">
        <v>122</v>
      </c>
      <c r="K17" s="12" t="s">
        <v>167</v>
      </c>
      <c r="L17" s="20" t="s">
        <v>108</v>
      </c>
    </row>
    <row r="18" customFormat="false" ht="24" hidden="false" customHeight="true" outlineLevel="0" collapsed="false">
      <c r="A18" s="14" t="n">
        <v>13</v>
      </c>
      <c r="B18" s="14" t="s">
        <v>168</v>
      </c>
      <c r="C18" s="15" t="s">
        <v>169</v>
      </c>
      <c r="D18" s="16" t="s">
        <v>162</v>
      </c>
      <c r="E18" s="16" t="s">
        <v>170</v>
      </c>
      <c r="F18" s="17" t="n">
        <v>2</v>
      </c>
      <c r="G18" s="17" t="n">
        <v>2</v>
      </c>
      <c r="H18" s="17" t="n">
        <v>3</v>
      </c>
      <c r="I18" s="22" t="n">
        <f aca="false">F18+G18+H18</f>
        <v>7</v>
      </c>
      <c r="J18" s="23" t="s">
        <v>151</v>
      </c>
      <c r="K18" s="16" t="s">
        <v>171</v>
      </c>
      <c r="L18" s="20" t="s">
        <v>108</v>
      </c>
    </row>
    <row r="19" customFormat="false" ht="24" hidden="false" customHeight="true" outlineLevel="0" collapsed="false">
      <c r="A19" s="21" t="n">
        <v>14</v>
      </c>
      <c r="B19" s="21" t="s">
        <v>172</v>
      </c>
      <c r="C19" s="11" t="s">
        <v>173</v>
      </c>
      <c r="D19" s="12" t="s">
        <v>174</v>
      </c>
      <c r="E19" s="12" t="s">
        <v>131</v>
      </c>
      <c r="F19" s="17" t="n">
        <v>3</v>
      </c>
      <c r="G19" s="17" t="n">
        <v>3</v>
      </c>
      <c r="H19" s="17" t="n">
        <v>3</v>
      </c>
      <c r="I19" s="18" t="n">
        <f aca="false">F19+G19+H19</f>
        <v>9</v>
      </c>
      <c r="J19" s="19" t="s">
        <v>122</v>
      </c>
      <c r="K19" s="12" t="s">
        <v>175</v>
      </c>
      <c r="L19" s="20" t="s">
        <v>108</v>
      </c>
    </row>
    <row r="20" customFormat="false" ht="24" hidden="false" customHeight="true" outlineLevel="0" collapsed="false">
      <c r="A20" s="14" t="n">
        <v>15</v>
      </c>
      <c r="B20" s="14" t="s">
        <v>176</v>
      </c>
      <c r="C20" s="15" t="s">
        <v>177</v>
      </c>
      <c r="D20" s="16" t="s">
        <v>174</v>
      </c>
      <c r="E20" s="16" t="s">
        <v>131</v>
      </c>
      <c r="F20" s="17" t="n">
        <v>3</v>
      </c>
      <c r="G20" s="17" t="n">
        <v>2</v>
      </c>
      <c r="H20" s="17" t="n">
        <v>3</v>
      </c>
      <c r="I20" s="18" t="n">
        <f aca="false">F20+G20+H20</f>
        <v>8</v>
      </c>
      <c r="J20" s="19" t="s">
        <v>122</v>
      </c>
      <c r="K20" s="16" t="s">
        <v>178</v>
      </c>
      <c r="L20" s="20" t="s">
        <v>108</v>
      </c>
    </row>
    <row r="21" customFormat="false" ht="24" hidden="false" customHeight="true" outlineLevel="0" collapsed="false">
      <c r="A21" s="21" t="n">
        <v>16</v>
      </c>
      <c r="B21" s="21" t="s">
        <v>179</v>
      </c>
      <c r="C21" s="11" t="s">
        <v>180</v>
      </c>
      <c r="D21" s="12" t="s">
        <v>174</v>
      </c>
      <c r="E21" s="12" t="s">
        <v>131</v>
      </c>
      <c r="F21" s="17" t="n">
        <v>3</v>
      </c>
      <c r="G21" s="17" t="n">
        <v>3</v>
      </c>
      <c r="H21" s="17" t="n">
        <v>3</v>
      </c>
      <c r="I21" s="18" t="n">
        <f aca="false">F21+G21+H21</f>
        <v>9</v>
      </c>
      <c r="J21" s="19" t="s">
        <v>122</v>
      </c>
      <c r="K21" s="12" t="s">
        <v>181</v>
      </c>
      <c r="L21" s="20" t="s">
        <v>108</v>
      </c>
    </row>
    <row r="22" customFormat="false" ht="24" hidden="false" customHeight="true" outlineLevel="0" collapsed="false">
      <c r="A22" s="14" t="n">
        <v>17</v>
      </c>
      <c r="B22" s="14" t="s">
        <v>182</v>
      </c>
      <c r="C22" s="15" t="s">
        <v>183</v>
      </c>
      <c r="D22" s="16" t="s">
        <v>174</v>
      </c>
      <c r="E22" s="16" t="s">
        <v>131</v>
      </c>
      <c r="F22" s="17" t="n">
        <v>3</v>
      </c>
      <c r="G22" s="17" t="n">
        <v>2</v>
      </c>
      <c r="H22" s="17" t="n">
        <v>2</v>
      </c>
      <c r="I22" s="22" t="n">
        <f aca="false">F22+G22+H22</f>
        <v>7</v>
      </c>
      <c r="J22" s="23" t="s">
        <v>151</v>
      </c>
      <c r="K22" s="16" t="s">
        <v>184</v>
      </c>
      <c r="L22" s="20" t="s">
        <v>108</v>
      </c>
    </row>
    <row r="23" customFormat="false" ht="24" hidden="false" customHeight="true" outlineLevel="0" collapsed="false">
      <c r="A23" s="21" t="n">
        <v>18</v>
      </c>
      <c r="B23" s="21" t="s">
        <v>185</v>
      </c>
      <c r="C23" s="11" t="s">
        <v>186</v>
      </c>
      <c r="D23" s="12" t="s">
        <v>187</v>
      </c>
      <c r="E23" s="12" t="s">
        <v>188</v>
      </c>
      <c r="F23" s="17" t="n">
        <v>3</v>
      </c>
      <c r="G23" s="17" t="n">
        <v>3</v>
      </c>
      <c r="H23" s="17" t="n">
        <v>3</v>
      </c>
      <c r="I23" s="18" t="n">
        <f aca="false">F23+G23+H23</f>
        <v>9</v>
      </c>
      <c r="J23" s="19" t="s">
        <v>122</v>
      </c>
      <c r="K23" s="12" t="s">
        <v>189</v>
      </c>
      <c r="L23" s="20" t="s">
        <v>108</v>
      </c>
    </row>
    <row r="24" customFormat="false" ht="24" hidden="false" customHeight="true" outlineLevel="0" collapsed="false">
      <c r="A24" s="14" t="n">
        <v>19</v>
      </c>
      <c r="B24" s="14" t="s">
        <v>190</v>
      </c>
      <c r="C24" s="15" t="s">
        <v>191</v>
      </c>
      <c r="D24" s="16" t="s">
        <v>187</v>
      </c>
      <c r="E24" s="16" t="s">
        <v>192</v>
      </c>
      <c r="F24" s="17" t="n">
        <v>3</v>
      </c>
      <c r="G24" s="17" t="n">
        <v>3</v>
      </c>
      <c r="H24" s="17" t="n">
        <v>3</v>
      </c>
      <c r="I24" s="18" t="n">
        <f aca="false">F24+G24+H24</f>
        <v>9</v>
      </c>
      <c r="J24" s="19" t="s">
        <v>122</v>
      </c>
      <c r="K24" s="16" t="s">
        <v>189</v>
      </c>
      <c r="L24" s="20" t="s">
        <v>108</v>
      </c>
    </row>
    <row r="25" customFormat="false" ht="24" hidden="false" customHeight="true" outlineLevel="0" collapsed="false">
      <c r="A25" s="21" t="n">
        <v>20</v>
      </c>
      <c r="B25" s="21" t="s">
        <v>193</v>
      </c>
      <c r="C25" s="11" t="s">
        <v>194</v>
      </c>
      <c r="D25" s="12" t="s">
        <v>187</v>
      </c>
      <c r="E25" s="12" t="s">
        <v>195</v>
      </c>
      <c r="F25" s="17" t="n">
        <v>3</v>
      </c>
      <c r="G25" s="17" t="n">
        <v>3</v>
      </c>
      <c r="H25" s="17" t="n">
        <v>2</v>
      </c>
      <c r="I25" s="18" t="n">
        <f aca="false">F25+G25+H25</f>
        <v>8</v>
      </c>
      <c r="J25" s="19" t="s">
        <v>122</v>
      </c>
      <c r="K25" s="12" t="s">
        <v>189</v>
      </c>
      <c r="L25" s="20" t="s">
        <v>108</v>
      </c>
    </row>
    <row r="27" customFormat="false" ht="27.75" hidden="false" customHeight="true" outlineLevel="0" collapsed="false">
      <c r="B27" s="24" t="s">
        <v>196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</row>
  </sheetData>
  <mergeCells count="4">
    <mergeCell ref="A1:L1"/>
    <mergeCell ref="A2:L2"/>
    <mergeCell ref="A3:L3"/>
    <mergeCell ref="B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5" min="4" style="0" width="32"/>
    <col collapsed="false" customWidth="true" hidden="false" outlineLevel="0" max="6" min="6" style="0" width="10"/>
  </cols>
  <sheetData>
    <row r="1" customFormat="false" ht="37.5" hidden="false" customHeight="true" outlineLevel="0" collapsed="false">
      <c r="A1" s="1" t="s">
        <v>197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198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199</v>
      </c>
      <c r="B3" s="3"/>
      <c r="C3" s="3"/>
      <c r="D3" s="3"/>
      <c r="E3" s="3"/>
      <c r="F3" s="3"/>
    </row>
    <row r="5" customFormat="false" ht="30" hidden="false" customHeight="true" outlineLevel="0" collapsed="false">
      <c r="A5" s="7" t="s">
        <v>106</v>
      </c>
      <c r="B5" s="7" t="s">
        <v>107</v>
      </c>
      <c r="C5" s="7" t="s">
        <v>200</v>
      </c>
      <c r="D5" s="7" t="s">
        <v>201</v>
      </c>
      <c r="E5" s="7" t="s">
        <v>202</v>
      </c>
      <c r="F5" s="7" t="s">
        <v>203</v>
      </c>
    </row>
    <row r="6" customFormat="false" ht="36" hidden="false" customHeight="true" outlineLevel="0" collapsed="false">
      <c r="A6" s="25" t="n">
        <v>1</v>
      </c>
      <c r="B6" s="25" t="s">
        <v>204</v>
      </c>
      <c r="C6" s="8" t="s">
        <v>119</v>
      </c>
      <c r="D6" s="9" t="s">
        <v>205</v>
      </c>
      <c r="E6" s="9" t="s">
        <v>206</v>
      </c>
      <c r="F6" s="26" t="s">
        <v>207</v>
      </c>
    </row>
    <row r="7" customFormat="false" ht="36" hidden="false" customHeight="true" outlineLevel="0" collapsed="false">
      <c r="A7" s="21" t="n">
        <v>2</v>
      </c>
      <c r="B7" s="21" t="s">
        <v>208</v>
      </c>
      <c r="C7" s="11" t="s">
        <v>209</v>
      </c>
      <c r="D7" s="12" t="s">
        <v>210</v>
      </c>
      <c r="E7" s="12" t="s">
        <v>211</v>
      </c>
      <c r="F7" s="26" t="s">
        <v>207</v>
      </c>
    </row>
    <row r="8" customFormat="false" ht="36" hidden="false" customHeight="true" outlineLevel="0" collapsed="false">
      <c r="A8" s="25" t="n">
        <v>3</v>
      </c>
      <c r="B8" s="25" t="s">
        <v>212</v>
      </c>
      <c r="C8" s="8" t="s">
        <v>213</v>
      </c>
      <c r="D8" s="9" t="s">
        <v>214</v>
      </c>
      <c r="E8" s="9" t="s">
        <v>215</v>
      </c>
      <c r="F8" s="26" t="s">
        <v>207</v>
      </c>
    </row>
    <row r="9" customFormat="false" ht="36" hidden="false" customHeight="true" outlineLevel="0" collapsed="false">
      <c r="A9" s="21" t="n">
        <v>4</v>
      </c>
      <c r="B9" s="21" t="s">
        <v>216</v>
      </c>
      <c r="C9" s="11" t="s">
        <v>142</v>
      </c>
      <c r="D9" s="12" t="s">
        <v>217</v>
      </c>
      <c r="E9" s="12" t="s">
        <v>218</v>
      </c>
      <c r="F9" s="26" t="s">
        <v>207</v>
      </c>
    </row>
    <row r="10" customFormat="false" ht="36" hidden="false" customHeight="true" outlineLevel="0" collapsed="false">
      <c r="A10" s="25" t="n">
        <v>5</v>
      </c>
      <c r="B10" s="25" t="s">
        <v>219</v>
      </c>
      <c r="C10" s="8" t="s">
        <v>220</v>
      </c>
      <c r="D10" s="9" t="s">
        <v>221</v>
      </c>
      <c r="E10" s="9" t="s">
        <v>222</v>
      </c>
      <c r="F10" s="26" t="s">
        <v>223</v>
      </c>
    </row>
    <row r="11" customFormat="false" ht="36" hidden="false" customHeight="true" outlineLevel="0" collapsed="false">
      <c r="A11" s="21" t="n">
        <v>6</v>
      </c>
      <c r="B11" s="21" t="s">
        <v>224</v>
      </c>
      <c r="C11" s="11" t="s">
        <v>146</v>
      </c>
      <c r="D11" s="12" t="s">
        <v>225</v>
      </c>
      <c r="E11" s="12" t="s">
        <v>226</v>
      </c>
      <c r="F11" s="26" t="s">
        <v>207</v>
      </c>
    </row>
    <row r="12" customFormat="false" ht="36" hidden="false" customHeight="true" outlineLevel="0" collapsed="false">
      <c r="A12" s="25" t="n">
        <v>7</v>
      </c>
      <c r="B12" s="25" t="s">
        <v>227</v>
      </c>
      <c r="C12" s="8" t="s">
        <v>177</v>
      </c>
      <c r="D12" s="9" t="s">
        <v>228</v>
      </c>
      <c r="E12" s="9" t="s">
        <v>229</v>
      </c>
      <c r="F12" s="26" t="s">
        <v>207</v>
      </c>
    </row>
    <row r="13" customFormat="false" ht="36" hidden="false" customHeight="true" outlineLevel="0" collapsed="false">
      <c r="A13" s="21" t="n">
        <v>8</v>
      </c>
      <c r="B13" s="21" t="s">
        <v>230</v>
      </c>
      <c r="C13" s="11" t="s">
        <v>138</v>
      </c>
      <c r="D13" s="12" t="s">
        <v>231</v>
      </c>
      <c r="E13" s="12" t="s">
        <v>232</v>
      </c>
      <c r="F13" s="26" t="s">
        <v>189</v>
      </c>
    </row>
    <row r="14" customFormat="false" ht="36" hidden="false" customHeight="true" outlineLevel="0" collapsed="false">
      <c r="A14" s="25" t="n">
        <v>9</v>
      </c>
      <c r="B14" s="25" t="s">
        <v>233</v>
      </c>
      <c r="C14" s="8" t="s">
        <v>234</v>
      </c>
      <c r="D14" s="9" t="s">
        <v>235</v>
      </c>
      <c r="E14" s="9" t="s">
        <v>236</v>
      </c>
      <c r="F14" s="26" t="s">
        <v>189</v>
      </c>
    </row>
    <row r="15" customFormat="false" ht="36" hidden="false" customHeight="true" outlineLevel="0" collapsed="false">
      <c r="A15" s="21" t="n">
        <v>10</v>
      </c>
      <c r="B15" s="21" t="s">
        <v>237</v>
      </c>
      <c r="C15" s="11" t="s">
        <v>161</v>
      </c>
      <c r="D15" s="12" t="s">
        <v>238</v>
      </c>
      <c r="E15" s="12" t="s">
        <v>239</v>
      </c>
      <c r="F15" s="26" t="s">
        <v>207</v>
      </c>
    </row>
    <row r="16" customFormat="false" ht="36" hidden="false" customHeight="true" outlineLevel="0" collapsed="false">
      <c r="A16" s="25" t="n">
        <v>11</v>
      </c>
      <c r="B16" s="25" t="s">
        <v>240</v>
      </c>
      <c r="C16" s="8" t="s">
        <v>241</v>
      </c>
      <c r="D16" s="9" t="s">
        <v>242</v>
      </c>
      <c r="E16" s="9" t="s">
        <v>243</v>
      </c>
      <c r="F16" s="26" t="s">
        <v>244</v>
      </c>
    </row>
    <row r="17" customFormat="false" ht="36" hidden="false" customHeight="true" outlineLevel="0" collapsed="false">
      <c r="A17" s="21" t="n">
        <v>12</v>
      </c>
      <c r="B17" s="21" t="s">
        <v>245</v>
      </c>
      <c r="C17" s="11" t="s">
        <v>125</v>
      </c>
      <c r="D17" s="12" t="s">
        <v>246</v>
      </c>
      <c r="E17" s="12" t="s">
        <v>247</v>
      </c>
      <c r="F17" s="26" t="s">
        <v>189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4" min="3" style="0" width="22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7.5" hidden="false" customHeight="true" outlineLevel="0" collapsed="false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249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250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36" hidden="false" customHeight="true" outlineLevel="0" collapsed="false">
      <c r="A5" s="7" t="s">
        <v>106</v>
      </c>
      <c r="B5" s="7" t="s">
        <v>107</v>
      </c>
      <c r="C5" s="7" t="s">
        <v>251</v>
      </c>
      <c r="D5" s="7" t="s">
        <v>252</v>
      </c>
      <c r="E5" s="7" t="s">
        <v>253</v>
      </c>
      <c r="F5" s="7" t="s">
        <v>254</v>
      </c>
      <c r="G5" s="7" t="s">
        <v>255</v>
      </c>
      <c r="H5" s="7" t="s">
        <v>35</v>
      </c>
      <c r="I5" s="7" t="s">
        <v>256</v>
      </c>
      <c r="J5" s="7" t="s">
        <v>257</v>
      </c>
    </row>
    <row r="6" customFormat="false" ht="31.5" hidden="false" customHeight="true" outlineLevel="0" collapsed="false">
      <c r="A6" s="14" t="n">
        <v>1</v>
      </c>
      <c r="B6" s="14" t="s">
        <v>204</v>
      </c>
      <c r="C6" s="15" t="s">
        <v>258</v>
      </c>
      <c r="D6" s="16" t="s">
        <v>259</v>
      </c>
      <c r="E6" s="27" t="n">
        <v>4</v>
      </c>
      <c r="F6" s="27" t="n">
        <v>5</v>
      </c>
      <c r="G6" s="28" t="n">
        <f aca="false">E6*F6</f>
        <v>20</v>
      </c>
      <c r="H6" s="29" t="s">
        <v>260</v>
      </c>
      <c r="I6" s="20" t="s">
        <v>261</v>
      </c>
      <c r="J6" s="30" t="s">
        <v>262</v>
      </c>
    </row>
    <row r="7" customFormat="false" ht="31.5" hidden="false" customHeight="true" outlineLevel="0" collapsed="false">
      <c r="A7" s="21" t="n">
        <v>2</v>
      </c>
      <c r="B7" s="21" t="s">
        <v>208</v>
      </c>
      <c r="C7" s="11" t="s">
        <v>263</v>
      </c>
      <c r="D7" s="12" t="s">
        <v>264</v>
      </c>
      <c r="E7" s="27" t="n">
        <v>4</v>
      </c>
      <c r="F7" s="27" t="n">
        <v>5</v>
      </c>
      <c r="G7" s="28" t="n">
        <f aca="false">E7*F7</f>
        <v>20</v>
      </c>
      <c r="H7" s="29" t="s">
        <v>260</v>
      </c>
      <c r="I7" s="20" t="s">
        <v>261</v>
      </c>
      <c r="J7" s="31" t="s">
        <v>262</v>
      </c>
    </row>
    <row r="8" customFormat="false" ht="31.5" hidden="false" customHeight="true" outlineLevel="0" collapsed="false">
      <c r="A8" s="14" t="n">
        <v>3</v>
      </c>
      <c r="B8" s="14" t="s">
        <v>212</v>
      </c>
      <c r="C8" s="15" t="s">
        <v>265</v>
      </c>
      <c r="D8" s="16" t="s">
        <v>266</v>
      </c>
      <c r="E8" s="27" t="n">
        <v>4</v>
      </c>
      <c r="F8" s="27" t="n">
        <v>4</v>
      </c>
      <c r="G8" s="28" t="n">
        <f aca="false">E8*F8</f>
        <v>16</v>
      </c>
      <c r="H8" s="29" t="s">
        <v>260</v>
      </c>
      <c r="I8" s="20" t="s">
        <v>261</v>
      </c>
      <c r="J8" s="30" t="s">
        <v>262</v>
      </c>
    </row>
    <row r="9" customFormat="false" ht="31.5" hidden="false" customHeight="true" outlineLevel="0" collapsed="false">
      <c r="A9" s="21" t="n">
        <v>4</v>
      </c>
      <c r="B9" s="21" t="s">
        <v>216</v>
      </c>
      <c r="C9" s="11" t="s">
        <v>267</v>
      </c>
      <c r="D9" s="12" t="s">
        <v>268</v>
      </c>
      <c r="E9" s="27" t="n">
        <v>3</v>
      </c>
      <c r="F9" s="27" t="n">
        <v>4</v>
      </c>
      <c r="G9" s="32" t="n">
        <f aca="false">E9*F9</f>
        <v>12</v>
      </c>
      <c r="H9" s="33" t="s">
        <v>269</v>
      </c>
      <c r="I9" s="20" t="s">
        <v>261</v>
      </c>
      <c r="J9" s="31" t="s">
        <v>270</v>
      </c>
    </row>
    <row r="10" customFormat="false" ht="31.5" hidden="false" customHeight="true" outlineLevel="0" collapsed="false">
      <c r="A10" s="14" t="n">
        <v>5</v>
      </c>
      <c r="B10" s="14" t="s">
        <v>219</v>
      </c>
      <c r="C10" s="15" t="s">
        <v>271</v>
      </c>
      <c r="D10" s="16" t="s">
        <v>272</v>
      </c>
      <c r="E10" s="27" t="n">
        <v>2</v>
      </c>
      <c r="F10" s="27" t="n">
        <v>4</v>
      </c>
      <c r="G10" s="34" t="n">
        <f aca="false">E10*F10</f>
        <v>8</v>
      </c>
      <c r="H10" s="35" t="s">
        <v>273</v>
      </c>
      <c r="I10" s="20" t="s">
        <v>261</v>
      </c>
      <c r="J10" s="30" t="s">
        <v>274</v>
      </c>
    </row>
    <row r="11" customFormat="false" ht="31.5" hidden="false" customHeight="true" outlineLevel="0" collapsed="false">
      <c r="A11" s="21" t="n">
        <v>6</v>
      </c>
      <c r="B11" s="21" t="s">
        <v>224</v>
      </c>
      <c r="C11" s="11" t="s">
        <v>275</v>
      </c>
      <c r="D11" s="12" t="s">
        <v>276</v>
      </c>
      <c r="E11" s="27" t="n">
        <v>3</v>
      </c>
      <c r="F11" s="27" t="n">
        <v>4</v>
      </c>
      <c r="G11" s="32" t="n">
        <f aca="false">E11*F11</f>
        <v>12</v>
      </c>
      <c r="H11" s="33" t="s">
        <v>269</v>
      </c>
      <c r="I11" s="20" t="s">
        <v>261</v>
      </c>
      <c r="J11" s="31" t="s">
        <v>270</v>
      </c>
    </row>
    <row r="12" customFormat="false" ht="31.5" hidden="false" customHeight="true" outlineLevel="0" collapsed="false">
      <c r="A12" s="14" t="n">
        <v>7</v>
      </c>
      <c r="B12" s="14" t="s">
        <v>227</v>
      </c>
      <c r="C12" s="15" t="s">
        <v>277</v>
      </c>
      <c r="D12" s="16" t="s">
        <v>278</v>
      </c>
      <c r="E12" s="27" t="n">
        <v>3</v>
      </c>
      <c r="F12" s="27" t="n">
        <v>3</v>
      </c>
      <c r="G12" s="34" t="n">
        <f aca="false">E12*F12</f>
        <v>9</v>
      </c>
      <c r="H12" s="35" t="s">
        <v>273</v>
      </c>
      <c r="I12" s="20" t="s">
        <v>261</v>
      </c>
      <c r="J12" s="30" t="s">
        <v>274</v>
      </c>
    </row>
    <row r="13" customFormat="false" ht="31.5" hidden="false" customHeight="true" outlineLevel="0" collapsed="false">
      <c r="A13" s="21" t="n">
        <v>8</v>
      </c>
      <c r="B13" s="21" t="s">
        <v>230</v>
      </c>
      <c r="C13" s="11" t="s">
        <v>279</v>
      </c>
      <c r="D13" s="12" t="s">
        <v>280</v>
      </c>
      <c r="E13" s="27" t="n">
        <v>2</v>
      </c>
      <c r="F13" s="27" t="n">
        <v>4</v>
      </c>
      <c r="G13" s="34" t="n">
        <f aca="false">E13*F13</f>
        <v>8</v>
      </c>
      <c r="H13" s="35" t="s">
        <v>273</v>
      </c>
      <c r="I13" s="20" t="s">
        <v>261</v>
      </c>
      <c r="J13" s="31" t="s">
        <v>274</v>
      </c>
    </row>
    <row r="14" customFormat="false" ht="31.5" hidden="false" customHeight="true" outlineLevel="0" collapsed="false">
      <c r="A14" s="14" t="n">
        <v>9</v>
      </c>
      <c r="B14" s="14" t="s">
        <v>233</v>
      </c>
      <c r="C14" s="15" t="s">
        <v>281</v>
      </c>
      <c r="D14" s="16" t="s">
        <v>282</v>
      </c>
      <c r="E14" s="27" t="n">
        <v>3</v>
      </c>
      <c r="F14" s="27" t="n">
        <v>3</v>
      </c>
      <c r="G14" s="34" t="n">
        <f aca="false">E14*F14</f>
        <v>9</v>
      </c>
      <c r="H14" s="35" t="s">
        <v>273</v>
      </c>
      <c r="I14" s="20" t="s">
        <v>261</v>
      </c>
      <c r="J14" s="30" t="s">
        <v>274</v>
      </c>
    </row>
    <row r="15" customFormat="false" ht="31.5" hidden="false" customHeight="true" outlineLevel="0" collapsed="false">
      <c r="A15" s="21" t="n">
        <v>10</v>
      </c>
      <c r="B15" s="21" t="s">
        <v>237</v>
      </c>
      <c r="C15" s="11" t="s">
        <v>283</v>
      </c>
      <c r="D15" s="12" t="s">
        <v>161</v>
      </c>
      <c r="E15" s="27" t="n">
        <v>3</v>
      </c>
      <c r="F15" s="27" t="n">
        <v>3</v>
      </c>
      <c r="G15" s="34" t="n">
        <f aca="false">E15*F15</f>
        <v>9</v>
      </c>
      <c r="H15" s="35" t="s">
        <v>273</v>
      </c>
      <c r="I15" s="20" t="s">
        <v>261</v>
      </c>
      <c r="J15" s="31" t="s">
        <v>274</v>
      </c>
    </row>
    <row r="16" customFormat="false" ht="31.5" hidden="false" customHeight="true" outlineLevel="0" collapsed="false">
      <c r="A16" s="14" t="n">
        <v>11</v>
      </c>
      <c r="B16" s="14" t="s">
        <v>240</v>
      </c>
      <c r="C16" s="15" t="s">
        <v>284</v>
      </c>
      <c r="D16" s="16" t="s">
        <v>241</v>
      </c>
      <c r="E16" s="27" t="n">
        <v>2</v>
      </c>
      <c r="F16" s="27" t="n">
        <v>3</v>
      </c>
      <c r="G16" s="34" t="n">
        <f aca="false">E16*F16</f>
        <v>6</v>
      </c>
      <c r="H16" s="35" t="s">
        <v>273</v>
      </c>
      <c r="I16" s="20" t="s">
        <v>261</v>
      </c>
      <c r="J16" s="30" t="s">
        <v>274</v>
      </c>
    </row>
    <row r="17" customFormat="false" ht="31.5" hidden="false" customHeight="true" outlineLevel="0" collapsed="false">
      <c r="A17" s="21" t="n">
        <v>12</v>
      </c>
      <c r="B17" s="21" t="s">
        <v>245</v>
      </c>
      <c r="C17" s="11" t="s">
        <v>285</v>
      </c>
      <c r="D17" s="12" t="s">
        <v>286</v>
      </c>
      <c r="E17" s="27" t="n">
        <v>3</v>
      </c>
      <c r="F17" s="27" t="n">
        <v>4</v>
      </c>
      <c r="G17" s="32" t="n">
        <f aca="false">E17*F17</f>
        <v>12</v>
      </c>
      <c r="H17" s="33" t="s">
        <v>269</v>
      </c>
      <c r="I17" s="20" t="s">
        <v>261</v>
      </c>
      <c r="J17" s="31" t="s">
        <v>270</v>
      </c>
    </row>
    <row r="21" customFormat="false" ht="19.5" hidden="false" customHeight="true" outlineLevel="0" collapsed="false">
      <c r="B21" s="36" t="s">
        <v>287</v>
      </c>
      <c r="C21" s="36"/>
      <c r="D21" s="36"/>
      <c r="E21" s="36"/>
      <c r="F21" s="36"/>
      <c r="G21" s="36"/>
    </row>
    <row r="22" customFormat="false" ht="21.75" hidden="false" customHeight="true" outlineLevel="0" collapsed="false">
      <c r="B22" s="37" t="s">
        <v>288</v>
      </c>
      <c r="C22" s="7" t="s">
        <v>289</v>
      </c>
      <c r="D22" s="7" t="s">
        <v>290</v>
      </c>
      <c r="E22" s="7" t="s">
        <v>291</v>
      </c>
      <c r="F22" s="7" t="s">
        <v>292</v>
      </c>
      <c r="G22" s="7" t="s">
        <v>293</v>
      </c>
    </row>
    <row r="23" customFormat="false" ht="21.75" hidden="false" customHeight="true" outlineLevel="0" collapsed="false">
      <c r="B23" s="7" t="s">
        <v>293</v>
      </c>
      <c r="C23" s="38" t="n">
        <v>5</v>
      </c>
      <c r="D23" s="22" t="n">
        <v>10</v>
      </c>
      <c r="E23" s="39" t="n">
        <v>15</v>
      </c>
      <c r="F23" s="40" t="n">
        <v>20</v>
      </c>
      <c r="G23" s="40" t="n">
        <v>25</v>
      </c>
    </row>
    <row r="24" customFormat="false" ht="21.75" hidden="false" customHeight="true" outlineLevel="0" collapsed="false">
      <c r="B24" s="7" t="s">
        <v>292</v>
      </c>
      <c r="C24" s="38" t="n">
        <v>4</v>
      </c>
      <c r="D24" s="22" t="n">
        <v>8</v>
      </c>
      <c r="E24" s="39" t="n">
        <v>12</v>
      </c>
      <c r="F24" s="40" t="n">
        <v>16</v>
      </c>
      <c r="G24" s="40" t="n">
        <v>20</v>
      </c>
    </row>
    <row r="25" customFormat="false" ht="21.75" hidden="false" customHeight="true" outlineLevel="0" collapsed="false">
      <c r="B25" s="7" t="s">
        <v>291</v>
      </c>
      <c r="C25" s="38" t="n">
        <v>3</v>
      </c>
      <c r="D25" s="22" t="n">
        <v>6</v>
      </c>
      <c r="E25" s="22" t="n">
        <v>9</v>
      </c>
      <c r="F25" s="39" t="n">
        <v>12</v>
      </c>
      <c r="G25" s="39" t="n">
        <v>15</v>
      </c>
    </row>
    <row r="26" customFormat="false" ht="21.75" hidden="false" customHeight="true" outlineLevel="0" collapsed="false">
      <c r="B26" s="7" t="s">
        <v>290</v>
      </c>
      <c r="C26" s="38" t="n">
        <v>2</v>
      </c>
      <c r="D26" s="38" t="n">
        <v>4</v>
      </c>
      <c r="E26" s="22" t="n">
        <v>6</v>
      </c>
      <c r="F26" s="22" t="n">
        <v>8</v>
      </c>
      <c r="G26" s="22" t="n">
        <v>10</v>
      </c>
    </row>
    <row r="27" customFormat="false" ht="21.75" hidden="false" customHeight="true" outlineLevel="0" collapsed="false">
      <c r="B27" s="7" t="s">
        <v>289</v>
      </c>
      <c r="C27" s="38" t="n">
        <v>1</v>
      </c>
      <c r="D27" s="38" t="n">
        <v>2</v>
      </c>
      <c r="E27" s="38" t="n">
        <v>3</v>
      </c>
      <c r="F27" s="38" t="n">
        <v>4</v>
      </c>
      <c r="G27" s="38" t="n">
        <v>5</v>
      </c>
    </row>
    <row r="29" customFormat="false" ht="18" hidden="false" customHeight="true" outlineLevel="0" collapsed="false">
      <c r="B29" s="41" t="s">
        <v>294</v>
      </c>
      <c r="C29" s="41"/>
      <c r="D29" s="42" t="s">
        <v>295</v>
      </c>
      <c r="E29" s="42"/>
      <c r="F29" s="43" t="s">
        <v>296</v>
      </c>
      <c r="G29" s="43"/>
      <c r="H29" s="44" t="s">
        <v>297</v>
      </c>
      <c r="I29" s="44"/>
    </row>
  </sheetData>
  <mergeCells count="8">
    <mergeCell ref="A1:J1"/>
    <mergeCell ref="A2:J2"/>
    <mergeCell ref="A3:J3"/>
    <mergeCell ref="B21:G21"/>
    <mergeCell ref="B29:C29"/>
    <mergeCell ref="D29:E29"/>
    <mergeCell ref="F29:G29"/>
    <mergeCell ref="H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298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299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300</v>
      </c>
      <c r="B3" s="3"/>
      <c r="C3" s="3"/>
      <c r="D3" s="3"/>
      <c r="E3" s="3"/>
      <c r="F3" s="3"/>
      <c r="G3" s="3"/>
      <c r="H3" s="3"/>
    </row>
    <row r="5" customFormat="false" ht="30" hidden="false" customHeight="true" outlineLevel="0" collapsed="false">
      <c r="A5" s="7" t="s">
        <v>106</v>
      </c>
      <c r="B5" s="7" t="s">
        <v>107</v>
      </c>
      <c r="C5" s="7" t="s">
        <v>251</v>
      </c>
      <c r="D5" s="7" t="s">
        <v>301</v>
      </c>
      <c r="E5" s="7" t="s">
        <v>302</v>
      </c>
      <c r="F5" s="7" t="s">
        <v>303</v>
      </c>
      <c r="G5" s="7" t="s">
        <v>304</v>
      </c>
      <c r="H5" s="7" t="s">
        <v>117</v>
      </c>
    </row>
    <row r="6" customFormat="false" ht="39.75" hidden="false" customHeight="true" outlineLevel="0" collapsed="false">
      <c r="A6" s="25" t="n">
        <v>1</v>
      </c>
      <c r="B6" s="25" t="s">
        <v>204</v>
      </c>
      <c r="C6" s="8" t="s">
        <v>305</v>
      </c>
      <c r="D6" s="45" t="s">
        <v>306</v>
      </c>
      <c r="E6" s="9" t="s">
        <v>307</v>
      </c>
      <c r="F6" s="10" t="s">
        <v>308</v>
      </c>
      <c r="G6" s="20" t="s">
        <v>309</v>
      </c>
      <c r="H6" s="20" t="s">
        <v>310</v>
      </c>
    </row>
    <row r="7" customFormat="false" ht="39.75" hidden="false" customHeight="true" outlineLevel="0" collapsed="false">
      <c r="A7" s="21" t="n">
        <v>2</v>
      </c>
      <c r="B7" s="21" t="s">
        <v>208</v>
      </c>
      <c r="C7" s="11" t="s">
        <v>311</v>
      </c>
      <c r="D7" s="45" t="s">
        <v>306</v>
      </c>
      <c r="E7" s="12" t="s">
        <v>312</v>
      </c>
      <c r="F7" s="10" t="s">
        <v>131</v>
      </c>
      <c r="G7" s="20" t="s">
        <v>309</v>
      </c>
      <c r="H7" s="20" t="s">
        <v>310</v>
      </c>
    </row>
    <row r="8" customFormat="false" ht="39.75" hidden="false" customHeight="true" outlineLevel="0" collapsed="false">
      <c r="A8" s="25" t="n">
        <v>3</v>
      </c>
      <c r="B8" s="25" t="s">
        <v>212</v>
      </c>
      <c r="C8" s="8" t="s">
        <v>313</v>
      </c>
      <c r="D8" s="45" t="s">
        <v>306</v>
      </c>
      <c r="E8" s="9" t="s">
        <v>314</v>
      </c>
      <c r="F8" s="10" t="s">
        <v>315</v>
      </c>
      <c r="G8" s="20" t="s">
        <v>309</v>
      </c>
      <c r="H8" s="20" t="s">
        <v>310</v>
      </c>
    </row>
    <row r="9" customFormat="false" ht="39.75" hidden="false" customHeight="true" outlineLevel="0" collapsed="false">
      <c r="A9" s="21" t="n">
        <v>4</v>
      </c>
      <c r="B9" s="21" t="s">
        <v>216</v>
      </c>
      <c r="C9" s="11" t="s">
        <v>316</v>
      </c>
      <c r="D9" s="45" t="s">
        <v>306</v>
      </c>
      <c r="E9" s="12" t="s">
        <v>317</v>
      </c>
      <c r="F9" s="10" t="s">
        <v>131</v>
      </c>
      <c r="G9" s="20" t="s">
        <v>318</v>
      </c>
      <c r="H9" s="20" t="s">
        <v>310</v>
      </c>
    </row>
    <row r="10" customFormat="false" ht="39.75" hidden="false" customHeight="true" outlineLevel="0" collapsed="false">
      <c r="A10" s="25" t="n">
        <v>5</v>
      </c>
      <c r="B10" s="25" t="s">
        <v>219</v>
      </c>
      <c r="C10" s="8" t="s">
        <v>319</v>
      </c>
      <c r="D10" s="45" t="s">
        <v>306</v>
      </c>
      <c r="E10" s="9" t="s">
        <v>320</v>
      </c>
      <c r="F10" s="10" t="s">
        <v>131</v>
      </c>
      <c r="G10" s="20" t="s">
        <v>318</v>
      </c>
      <c r="H10" s="20" t="s">
        <v>310</v>
      </c>
    </row>
    <row r="11" customFormat="false" ht="39.75" hidden="false" customHeight="true" outlineLevel="0" collapsed="false">
      <c r="A11" s="21" t="n">
        <v>6</v>
      </c>
      <c r="B11" s="21" t="s">
        <v>224</v>
      </c>
      <c r="C11" s="11" t="s">
        <v>321</v>
      </c>
      <c r="D11" s="45" t="s">
        <v>306</v>
      </c>
      <c r="E11" s="12" t="s">
        <v>322</v>
      </c>
      <c r="F11" s="10" t="s">
        <v>131</v>
      </c>
      <c r="G11" s="20" t="s">
        <v>318</v>
      </c>
      <c r="H11" s="20" t="s">
        <v>310</v>
      </c>
    </row>
    <row r="12" customFormat="false" ht="39.75" hidden="false" customHeight="true" outlineLevel="0" collapsed="false">
      <c r="A12" s="25" t="n">
        <v>7</v>
      </c>
      <c r="B12" s="25" t="s">
        <v>227</v>
      </c>
      <c r="C12" s="8" t="s">
        <v>323</v>
      </c>
      <c r="D12" s="45" t="s">
        <v>306</v>
      </c>
      <c r="E12" s="9" t="s">
        <v>324</v>
      </c>
      <c r="F12" s="10" t="s">
        <v>131</v>
      </c>
      <c r="G12" s="20" t="s">
        <v>318</v>
      </c>
      <c r="H12" s="20" t="s">
        <v>310</v>
      </c>
    </row>
    <row r="13" customFormat="false" ht="39.75" hidden="false" customHeight="true" outlineLevel="0" collapsed="false">
      <c r="A13" s="21" t="n">
        <v>8</v>
      </c>
      <c r="B13" s="21" t="s">
        <v>230</v>
      </c>
      <c r="C13" s="11" t="s">
        <v>325</v>
      </c>
      <c r="D13" s="46" t="s">
        <v>326</v>
      </c>
      <c r="E13" s="12" t="s">
        <v>327</v>
      </c>
      <c r="F13" s="10" t="s">
        <v>328</v>
      </c>
      <c r="G13" s="20" t="s">
        <v>329</v>
      </c>
      <c r="H13" s="20" t="s">
        <v>310</v>
      </c>
    </row>
    <row r="14" customFormat="false" ht="39.75" hidden="false" customHeight="true" outlineLevel="0" collapsed="false">
      <c r="A14" s="25" t="n">
        <v>9</v>
      </c>
      <c r="B14" s="25" t="s">
        <v>233</v>
      </c>
      <c r="C14" s="8" t="s">
        <v>330</v>
      </c>
      <c r="D14" s="45" t="s">
        <v>306</v>
      </c>
      <c r="E14" s="9" t="s">
        <v>331</v>
      </c>
      <c r="F14" s="10" t="s">
        <v>332</v>
      </c>
      <c r="G14" s="20" t="s">
        <v>329</v>
      </c>
      <c r="H14" s="20" t="s">
        <v>310</v>
      </c>
    </row>
    <row r="15" customFormat="false" ht="39.75" hidden="false" customHeight="true" outlineLevel="0" collapsed="false">
      <c r="A15" s="21" t="n">
        <v>10</v>
      </c>
      <c r="B15" s="21" t="s">
        <v>237</v>
      </c>
      <c r="C15" s="11" t="s">
        <v>333</v>
      </c>
      <c r="D15" s="45" t="s">
        <v>306</v>
      </c>
      <c r="E15" s="12" t="s">
        <v>334</v>
      </c>
      <c r="F15" s="10" t="s">
        <v>131</v>
      </c>
      <c r="G15" s="20" t="s">
        <v>309</v>
      </c>
      <c r="H15" s="20" t="s">
        <v>310</v>
      </c>
    </row>
    <row r="16" customFormat="false" ht="39.75" hidden="false" customHeight="true" outlineLevel="0" collapsed="false">
      <c r="A16" s="25" t="n">
        <v>11</v>
      </c>
      <c r="B16" s="25" t="s">
        <v>240</v>
      </c>
      <c r="C16" s="8" t="s">
        <v>335</v>
      </c>
      <c r="D16" s="45" t="s">
        <v>306</v>
      </c>
      <c r="E16" s="9" t="s">
        <v>336</v>
      </c>
      <c r="F16" s="10" t="s">
        <v>131</v>
      </c>
      <c r="G16" s="20" t="s">
        <v>329</v>
      </c>
      <c r="H16" s="20" t="s">
        <v>310</v>
      </c>
    </row>
    <row r="17" customFormat="false" ht="39.75" hidden="false" customHeight="true" outlineLevel="0" collapsed="false">
      <c r="A17" s="21" t="n">
        <v>12</v>
      </c>
      <c r="B17" s="21" t="s">
        <v>245</v>
      </c>
      <c r="C17" s="11" t="s">
        <v>285</v>
      </c>
      <c r="D17" s="45" t="s">
        <v>306</v>
      </c>
      <c r="E17" s="12" t="s">
        <v>337</v>
      </c>
      <c r="F17" s="10" t="s">
        <v>338</v>
      </c>
      <c r="G17" s="20" t="s">
        <v>318</v>
      </c>
      <c r="H17" s="20" t="s">
        <v>310</v>
      </c>
    </row>
  </sheetData>
  <mergeCells count="3">
    <mergeCell ref="A1:H1"/>
    <mergeCell ref="A2:H2"/>
    <mergeCell ref="A3:H3"/>
  </mergeCells>
  <dataValidations count="2">
    <dataValidation allowBlank="true" errorStyle="stop" operator="between" showDropDown="false" showErrorMessage="false" showInputMessage="false" sqref="D6:D17" type="list">
      <formula1>"MITIGAR,EVITAR,TRANSFERIR,ACEPTAR,TRANSFERIR + MITIGAR"</formula1>
      <formula2>0</formula2>
    </dataValidation>
    <dataValidation allowBlank="true" errorStyle="stop" operator="between" showDropDown="false" showErrorMessage="false" showInputMessage="false" sqref="H6:H17" type="list">
      <formula1>"🔲 Pendiente,⚠️ En proceso,✅ Completado"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339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340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341</v>
      </c>
      <c r="B3" s="3"/>
      <c r="C3" s="3"/>
      <c r="D3" s="3"/>
      <c r="E3" s="3"/>
      <c r="F3" s="3"/>
      <c r="G3" s="3"/>
      <c r="H3" s="3"/>
    </row>
    <row r="5" customFormat="false" ht="30" hidden="false" customHeight="true" outlineLevel="0" collapsed="false">
      <c r="A5" s="7" t="s">
        <v>106</v>
      </c>
      <c r="B5" s="7" t="s">
        <v>342</v>
      </c>
      <c r="C5" s="7" t="s">
        <v>343</v>
      </c>
      <c r="D5" s="7" t="s">
        <v>35</v>
      </c>
      <c r="E5" s="7" t="s">
        <v>344</v>
      </c>
      <c r="F5" s="7" t="s">
        <v>345</v>
      </c>
      <c r="G5" s="7" t="s">
        <v>346</v>
      </c>
      <c r="H5" s="7" t="s">
        <v>347</v>
      </c>
    </row>
    <row r="6" customFormat="false" ht="18" hidden="false" customHeight="true" outlineLevel="0" collapsed="false">
      <c r="A6" s="47" t="n">
        <v>1</v>
      </c>
      <c r="B6" s="48" t="s">
        <v>348</v>
      </c>
      <c r="C6" s="16" t="s">
        <v>349</v>
      </c>
      <c r="D6" s="49" t="s">
        <v>350</v>
      </c>
      <c r="E6" s="50" t="s">
        <v>351</v>
      </c>
      <c r="F6" s="51"/>
      <c r="G6" s="51"/>
      <c r="H6" s="19" t="s">
        <v>352</v>
      </c>
    </row>
    <row r="7" customFormat="false" ht="18" hidden="false" customHeight="true" outlineLevel="0" collapsed="false">
      <c r="A7" s="52" t="n">
        <v>2</v>
      </c>
      <c r="B7" s="48" t="s">
        <v>353</v>
      </c>
      <c r="C7" s="12" t="s">
        <v>354</v>
      </c>
      <c r="D7" s="49" t="s">
        <v>350</v>
      </c>
      <c r="E7" s="50" t="s">
        <v>351</v>
      </c>
      <c r="F7" s="51"/>
      <c r="G7" s="51"/>
      <c r="H7" s="19" t="s">
        <v>352</v>
      </c>
    </row>
    <row r="8" customFormat="false" ht="18" hidden="false" customHeight="true" outlineLevel="0" collapsed="false">
      <c r="A8" s="47" t="n">
        <v>3</v>
      </c>
      <c r="B8" s="48" t="s">
        <v>355</v>
      </c>
      <c r="C8" s="16" t="s">
        <v>356</v>
      </c>
      <c r="D8" s="49" t="s">
        <v>350</v>
      </c>
      <c r="E8" s="50" t="s">
        <v>351</v>
      </c>
      <c r="F8" s="51"/>
      <c r="G8" s="51"/>
      <c r="H8" s="19" t="s">
        <v>352</v>
      </c>
    </row>
    <row r="9" customFormat="false" ht="18" hidden="false" customHeight="true" outlineLevel="0" collapsed="false">
      <c r="A9" s="52" t="n">
        <v>4</v>
      </c>
      <c r="B9" s="48" t="s">
        <v>357</v>
      </c>
      <c r="C9" s="12" t="s">
        <v>358</v>
      </c>
      <c r="D9" s="49" t="s">
        <v>350</v>
      </c>
      <c r="E9" s="50" t="s">
        <v>351</v>
      </c>
      <c r="F9" s="51"/>
      <c r="G9" s="51"/>
      <c r="H9" s="19" t="s">
        <v>352</v>
      </c>
    </row>
    <row r="10" customFormat="false" ht="18" hidden="false" customHeight="true" outlineLevel="0" collapsed="false">
      <c r="A10" s="47" t="n">
        <v>5</v>
      </c>
      <c r="B10" s="48" t="s">
        <v>359</v>
      </c>
      <c r="C10" s="16" t="s">
        <v>360</v>
      </c>
      <c r="D10" s="49" t="s">
        <v>350</v>
      </c>
      <c r="E10" s="50" t="s">
        <v>351</v>
      </c>
      <c r="F10" s="51"/>
      <c r="G10" s="51"/>
      <c r="H10" s="19" t="s">
        <v>352</v>
      </c>
    </row>
    <row r="11" customFormat="false" ht="18" hidden="false" customHeight="true" outlineLevel="0" collapsed="false">
      <c r="A11" s="52" t="n">
        <v>6</v>
      </c>
      <c r="B11" s="48" t="s">
        <v>361</v>
      </c>
      <c r="C11" s="12" t="s">
        <v>362</v>
      </c>
      <c r="D11" s="49" t="s">
        <v>350</v>
      </c>
      <c r="E11" s="50" t="s">
        <v>351</v>
      </c>
      <c r="F11" s="51"/>
      <c r="G11" s="51"/>
      <c r="H11" s="19" t="s">
        <v>352</v>
      </c>
    </row>
    <row r="12" customFormat="false" ht="18" hidden="false" customHeight="true" outlineLevel="0" collapsed="false">
      <c r="A12" s="47" t="n">
        <v>7</v>
      </c>
      <c r="B12" s="48" t="s">
        <v>363</v>
      </c>
      <c r="C12" s="16" t="s">
        <v>364</v>
      </c>
      <c r="D12" s="49" t="s">
        <v>350</v>
      </c>
      <c r="E12" s="50" t="s">
        <v>351</v>
      </c>
      <c r="F12" s="51"/>
      <c r="G12" s="51"/>
      <c r="H12" s="19" t="s">
        <v>352</v>
      </c>
    </row>
    <row r="13" customFormat="false" ht="18" hidden="false" customHeight="true" outlineLevel="0" collapsed="false">
      <c r="A13" s="52" t="n">
        <v>8</v>
      </c>
      <c r="B13" s="48" t="s">
        <v>365</v>
      </c>
      <c r="C13" s="12" t="s">
        <v>366</v>
      </c>
      <c r="D13" s="49" t="s">
        <v>350</v>
      </c>
      <c r="E13" s="50" t="s">
        <v>351</v>
      </c>
      <c r="F13" s="51"/>
      <c r="G13" s="51"/>
      <c r="H13" s="19" t="s">
        <v>352</v>
      </c>
    </row>
    <row r="14" customFormat="false" ht="18" hidden="false" customHeight="true" outlineLevel="0" collapsed="false">
      <c r="A14" s="47" t="n">
        <v>9</v>
      </c>
      <c r="B14" s="48" t="s">
        <v>367</v>
      </c>
      <c r="C14" s="16" t="s">
        <v>368</v>
      </c>
      <c r="D14" s="49" t="s">
        <v>350</v>
      </c>
      <c r="E14" s="50" t="s">
        <v>351</v>
      </c>
      <c r="F14" s="51"/>
      <c r="G14" s="51"/>
      <c r="H14" s="19" t="s">
        <v>352</v>
      </c>
    </row>
    <row r="15" customFormat="false" ht="18" hidden="false" customHeight="true" outlineLevel="0" collapsed="false">
      <c r="A15" s="52" t="n">
        <v>10</v>
      </c>
      <c r="B15" s="48" t="s">
        <v>369</v>
      </c>
      <c r="C15" s="12" t="s">
        <v>370</v>
      </c>
      <c r="D15" s="49" t="s">
        <v>350</v>
      </c>
      <c r="E15" s="50" t="s">
        <v>351</v>
      </c>
      <c r="F15" s="51"/>
      <c r="G15" s="51"/>
      <c r="H15" s="19" t="s">
        <v>352</v>
      </c>
    </row>
    <row r="16" customFormat="false" ht="18" hidden="false" customHeight="true" outlineLevel="0" collapsed="false">
      <c r="A16" s="47" t="n">
        <v>11</v>
      </c>
      <c r="B16" s="48" t="s">
        <v>371</v>
      </c>
      <c r="C16" s="16" t="s">
        <v>372</v>
      </c>
      <c r="D16" s="49" t="s">
        <v>350</v>
      </c>
      <c r="E16" s="50" t="s">
        <v>351</v>
      </c>
      <c r="F16" s="51"/>
      <c r="G16" s="51"/>
      <c r="H16" s="19" t="s">
        <v>352</v>
      </c>
    </row>
    <row r="17" customFormat="false" ht="18" hidden="false" customHeight="true" outlineLevel="0" collapsed="false">
      <c r="A17" s="52" t="n">
        <v>12</v>
      </c>
      <c r="B17" s="48" t="s">
        <v>373</v>
      </c>
      <c r="C17" s="12" t="s">
        <v>374</v>
      </c>
      <c r="D17" s="49" t="s">
        <v>350</v>
      </c>
      <c r="E17" s="50" t="s">
        <v>351</v>
      </c>
      <c r="F17" s="51"/>
      <c r="G17" s="51"/>
      <c r="H17" s="19" t="s">
        <v>352</v>
      </c>
    </row>
    <row r="18" customFormat="false" ht="18" hidden="false" customHeight="true" outlineLevel="0" collapsed="false">
      <c r="A18" s="47" t="n">
        <v>13</v>
      </c>
      <c r="B18" s="48" t="s">
        <v>375</v>
      </c>
      <c r="C18" s="16" t="s">
        <v>376</v>
      </c>
      <c r="D18" s="49" t="s">
        <v>350</v>
      </c>
      <c r="E18" s="50" t="s">
        <v>351</v>
      </c>
      <c r="F18" s="51"/>
      <c r="G18" s="51"/>
      <c r="H18" s="19" t="s">
        <v>352</v>
      </c>
    </row>
    <row r="19" customFormat="false" ht="18" hidden="false" customHeight="true" outlineLevel="0" collapsed="false">
      <c r="A19" s="52" t="n">
        <v>14</v>
      </c>
      <c r="B19" s="48" t="s">
        <v>377</v>
      </c>
      <c r="C19" s="12" t="s">
        <v>378</v>
      </c>
      <c r="D19" s="49" t="s">
        <v>350</v>
      </c>
      <c r="E19" s="50" t="s">
        <v>351</v>
      </c>
      <c r="F19" s="51"/>
      <c r="G19" s="51"/>
      <c r="H19" s="19" t="s">
        <v>352</v>
      </c>
    </row>
    <row r="20" customFormat="false" ht="18" hidden="false" customHeight="true" outlineLevel="0" collapsed="false">
      <c r="A20" s="47" t="n">
        <v>15</v>
      </c>
      <c r="B20" s="48" t="s">
        <v>379</v>
      </c>
      <c r="C20" s="16" t="s">
        <v>380</v>
      </c>
      <c r="D20" s="49" t="s">
        <v>350</v>
      </c>
      <c r="E20" s="50" t="s">
        <v>351</v>
      </c>
      <c r="F20" s="51"/>
      <c r="G20" s="51"/>
      <c r="H20" s="19" t="s">
        <v>352</v>
      </c>
    </row>
    <row r="21" customFormat="false" ht="18" hidden="false" customHeight="true" outlineLevel="0" collapsed="false">
      <c r="A21" s="52" t="n">
        <v>16</v>
      </c>
      <c r="B21" s="48" t="s">
        <v>381</v>
      </c>
      <c r="C21" s="12" t="s">
        <v>382</v>
      </c>
      <c r="D21" s="49" t="s">
        <v>350</v>
      </c>
      <c r="E21" s="50" t="s">
        <v>351</v>
      </c>
      <c r="F21" s="51"/>
      <c r="G21" s="51"/>
      <c r="H21" s="19" t="s">
        <v>352</v>
      </c>
    </row>
    <row r="22" customFormat="false" ht="18" hidden="false" customHeight="true" outlineLevel="0" collapsed="false">
      <c r="A22" s="47" t="n">
        <v>17</v>
      </c>
      <c r="B22" s="48" t="s">
        <v>383</v>
      </c>
      <c r="C22" s="16" t="s">
        <v>384</v>
      </c>
      <c r="D22" s="49" t="s">
        <v>350</v>
      </c>
      <c r="E22" s="50" t="s">
        <v>351</v>
      </c>
      <c r="F22" s="51"/>
      <c r="G22" s="51"/>
      <c r="H22" s="19" t="s">
        <v>352</v>
      </c>
    </row>
    <row r="23" customFormat="false" ht="18" hidden="false" customHeight="true" outlineLevel="0" collapsed="false">
      <c r="A23" s="52" t="n">
        <v>18</v>
      </c>
      <c r="B23" s="48" t="s">
        <v>385</v>
      </c>
      <c r="C23" s="12" t="s">
        <v>386</v>
      </c>
      <c r="D23" s="49" t="s">
        <v>350</v>
      </c>
      <c r="E23" s="50" t="s">
        <v>351</v>
      </c>
      <c r="F23" s="51"/>
      <c r="G23" s="51"/>
      <c r="H23" s="19" t="s">
        <v>352</v>
      </c>
    </row>
    <row r="24" customFormat="false" ht="18" hidden="false" customHeight="true" outlineLevel="0" collapsed="false">
      <c r="A24" s="47" t="n">
        <v>19</v>
      </c>
      <c r="B24" s="48" t="s">
        <v>387</v>
      </c>
      <c r="C24" s="16" t="s">
        <v>388</v>
      </c>
      <c r="D24" s="49" t="s">
        <v>350</v>
      </c>
      <c r="E24" s="50" t="s">
        <v>351</v>
      </c>
      <c r="F24" s="51"/>
      <c r="G24" s="51"/>
      <c r="H24" s="19" t="s">
        <v>352</v>
      </c>
    </row>
    <row r="25" customFormat="false" ht="18" hidden="false" customHeight="true" outlineLevel="0" collapsed="false">
      <c r="A25" s="52" t="n">
        <v>20</v>
      </c>
      <c r="B25" s="48" t="s">
        <v>389</v>
      </c>
      <c r="C25" s="12" t="s">
        <v>390</v>
      </c>
      <c r="D25" s="49" t="s">
        <v>350</v>
      </c>
      <c r="E25" s="50" t="s">
        <v>351</v>
      </c>
      <c r="F25" s="51"/>
      <c r="G25" s="51"/>
      <c r="H25" s="19" t="s">
        <v>352</v>
      </c>
    </row>
    <row r="26" customFormat="false" ht="18" hidden="false" customHeight="true" outlineLevel="0" collapsed="false">
      <c r="A26" s="47" t="n">
        <v>21</v>
      </c>
      <c r="B26" s="48" t="s">
        <v>391</v>
      </c>
      <c r="C26" s="16" t="s">
        <v>392</v>
      </c>
      <c r="D26" s="49" t="s">
        <v>350</v>
      </c>
      <c r="E26" s="50" t="s">
        <v>351</v>
      </c>
      <c r="F26" s="51"/>
      <c r="G26" s="51"/>
      <c r="H26" s="19" t="s">
        <v>352</v>
      </c>
    </row>
    <row r="27" customFormat="false" ht="18" hidden="false" customHeight="true" outlineLevel="0" collapsed="false">
      <c r="A27" s="52" t="n">
        <v>22</v>
      </c>
      <c r="B27" s="48" t="s">
        <v>393</v>
      </c>
      <c r="C27" s="12" t="s">
        <v>394</v>
      </c>
      <c r="D27" s="49" t="s">
        <v>350</v>
      </c>
      <c r="E27" s="50" t="s">
        <v>351</v>
      </c>
      <c r="F27" s="51"/>
      <c r="G27" s="51"/>
      <c r="H27" s="19" t="s">
        <v>352</v>
      </c>
    </row>
    <row r="28" customFormat="false" ht="18" hidden="false" customHeight="true" outlineLevel="0" collapsed="false">
      <c r="A28" s="47" t="n">
        <v>23</v>
      </c>
      <c r="B28" s="48" t="s">
        <v>395</v>
      </c>
      <c r="C28" s="16" t="s">
        <v>396</v>
      </c>
      <c r="D28" s="49" t="s">
        <v>350</v>
      </c>
      <c r="E28" s="50" t="s">
        <v>351</v>
      </c>
      <c r="F28" s="51"/>
      <c r="G28" s="51"/>
      <c r="H28" s="19" t="s">
        <v>352</v>
      </c>
    </row>
    <row r="29" customFormat="false" ht="18" hidden="false" customHeight="true" outlineLevel="0" collapsed="false">
      <c r="A29" s="52" t="n">
        <v>24</v>
      </c>
      <c r="B29" s="48" t="s">
        <v>397</v>
      </c>
      <c r="C29" s="12" t="s">
        <v>398</v>
      </c>
      <c r="D29" s="49" t="s">
        <v>350</v>
      </c>
      <c r="E29" s="50" t="s">
        <v>351</v>
      </c>
      <c r="F29" s="51"/>
      <c r="G29" s="51"/>
      <c r="H29" s="19" t="s">
        <v>352</v>
      </c>
    </row>
    <row r="30" customFormat="false" ht="18" hidden="false" customHeight="true" outlineLevel="0" collapsed="false">
      <c r="A30" s="47" t="n">
        <v>25</v>
      </c>
      <c r="B30" s="48" t="s">
        <v>399</v>
      </c>
      <c r="C30" s="16" t="s">
        <v>400</v>
      </c>
      <c r="D30" s="49" t="s">
        <v>350</v>
      </c>
      <c r="E30" s="50" t="s">
        <v>351</v>
      </c>
      <c r="F30" s="51"/>
      <c r="G30" s="51"/>
      <c r="H30" s="19" t="s">
        <v>352</v>
      </c>
    </row>
    <row r="31" customFormat="false" ht="18" hidden="false" customHeight="true" outlineLevel="0" collapsed="false">
      <c r="A31" s="52" t="n">
        <v>26</v>
      </c>
      <c r="B31" s="48" t="s">
        <v>401</v>
      </c>
      <c r="C31" s="12" t="s">
        <v>402</v>
      </c>
      <c r="D31" s="49" t="s">
        <v>350</v>
      </c>
      <c r="E31" s="50" t="s">
        <v>351</v>
      </c>
      <c r="F31" s="51"/>
      <c r="G31" s="51"/>
      <c r="H31" s="19" t="s">
        <v>352</v>
      </c>
    </row>
    <row r="32" customFormat="false" ht="18" hidden="false" customHeight="true" outlineLevel="0" collapsed="false">
      <c r="A32" s="47" t="n">
        <v>27</v>
      </c>
      <c r="B32" s="48" t="s">
        <v>403</v>
      </c>
      <c r="C32" s="16" t="s">
        <v>404</v>
      </c>
      <c r="D32" s="49" t="s">
        <v>350</v>
      </c>
      <c r="E32" s="50" t="s">
        <v>351</v>
      </c>
      <c r="F32" s="51"/>
      <c r="G32" s="51"/>
      <c r="H32" s="19" t="s">
        <v>352</v>
      </c>
    </row>
    <row r="33" customFormat="false" ht="18" hidden="false" customHeight="true" outlineLevel="0" collapsed="false">
      <c r="A33" s="52" t="n">
        <v>28</v>
      </c>
      <c r="B33" s="48" t="s">
        <v>405</v>
      </c>
      <c r="C33" s="12" t="s">
        <v>406</v>
      </c>
      <c r="D33" s="49" t="s">
        <v>350</v>
      </c>
      <c r="E33" s="50" t="s">
        <v>351</v>
      </c>
      <c r="F33" s="51"/>
      <c r="G33" s="51"/>
      <c r="H33" s="19" t="s">
        <v>352</v>
      </c>
    </row>
    <row r="34" customFormat="false" ht="18" hidden="false" customHeight="true" outlineLevel="0" collapsed="false">
      <c r="A34" s="47" t="n">
        <v>29</v>
      </c>
      <c r="B34" s="48" t="s">
        <v>407</v>
      </c>
      <c r="C34" s="16" t="s">
        <v>408</v>
      </c>
      <c r="D34" s="49" t="s">
        <v>350</v>
      </c>
      <c r="E34" s="50" t="s">
        <v>351</v>
      </c>
      <c r="F34" s="51"/>
      <c r="G34" s="51"/>
      <c r="H34" s="19" t="s">
        <v>352</v>
      </c>
    </row>
    <row r="35" customFormat="false" ht="18" hidden="false" customHeight="true" outlineLevel="0" collapsed="false">
      <c r="A35" s="52" t="n">
        <v>30</v>
      </c>
      <c r="B35" s="48" t="s">
        <v>409</v>
      </c>
      <c r="C35" s="12" t="s">
        <v>410</v>
      </c>
      <c r="D35" s="49" t="s">
        <v>350</v>
      </c>
      <c r="E35" s="50" t="s">
        <v>351</v>
      </c>
      <c r="F35" s="51"/>
      <c r="G35" s="51"/>
      <c r="H35" s="19" t="s">
        <v>352</v>
      </c>
    </row>
    <row r="36" customFormat="false" ht="18" hidden="false" customHeight="true" outlineLevel="0" collapsed="false">
      <c r="A36" s="47" t="n">
        <v>31</v>
      </c>
      <c r="B36" s="48" t="s">
        <v>411</v>
      </c>
      <c r="C36" s="16" t="s">
        <v>412</v>
      </c>
      <c r="D36" s="49" t="s">
        <v>350</v>
      </c>
      <c r="E36" s="50" t="s">
        <v>351</v>
      </c>
      <c r="F36" s="51"/>
      <c r="G36" s="51"/>
      <c r="H36" s="19" t="s">
        <v>352</v>
      </c>
    </row>
    <row r="37" customFormat="false" ht="18" hidden="false" customHeight="true" outlineLevel="0" collapsed="false">
      <c r="A37" s="52" t="n">
        <v>32</v>
      </c>
      <c r="B37" s="48" t="s">
        <v>413</v>
      </c>
      <c r="C37" s="12" t="s">
        <v>414</v>
      </c>
      <c r="D37" s="49" t="s">
        <v>350</v>
      </c>
      <c r="E37" s="50" t="s">
        <v>351</v>
      </c>
      <c r="F37" s="51"/>
      <c r="G37" s="51"/>
      <c r="H37" s="19" t="s">
        <v>352</v>
      </c>
    </row>
    <row r="38" customFormat="false" ht="18" hidden="false" customHeight="true" outlineLevel="0" collapsed="false">
      <c r="A38" s="47" t="n">
        <v>33</v>
      </c>
      <c r="B38" s="48" t="s">
        <v>415</v>
      </c>
      <c r="C38" s="16" t="s">
        <v>416</v>
      </c>
      <c r="D38" s="49" t="s">
        <v>350</v>
      </c>
      <c r="E38" s="50" t="s">
        <v>351</v>
      </c>
      <c r="F38" s="51"/>
      <c r="G38" s="51"/>
      <c r="H38" s="19" t="s">
        <v>352</v>
      </c>
    </row>
    <row r="39" customFormat="false" ht="18" hidden="false" customHeight="true" outlineLevel="0" collapsed="false">
      <c r="A39" s="52" t="n">
        <v>34</v>
      </c>
      <c r="B39" s="48" t="s">
        <v>417</v>
      </c>
      <c r="C39" s="12" t="s">
        <v>418</v>
      </c>
      <c r="D39" s="49" t="s">
        <v>350</v>
      </c>
      <c r="E39" s="50" t="s">
        <v>351</v>
      </c>
      <c r="F39" s="51"/>
      <c r="G39" s="51"/>
      <c r="H39" s="19" t="s">
        <v>352</v>
      </c>
    </row>
    <row r="40" customFormat="false" ht="18" hidden="false" customHeight="true" outlineLevel="0" collapsed="false">
      <c r="A40" s="47" t="n">
        <v>35</v>
      </c>
      <c r="B40" s="48" t="s">
        <v>419</v>
      </c>
      <c r="C40" s="16" t="s">
        <v>420</v>
      </c>
      <c r="D40" s="49" t="s">
        <v>350</v>
      </c>
      <c r="E40" s="50" t="s">
        <v>351</v>
      </c>
      <c r="F40" s="51"/>
      <c r="G40" s="51"/>
      <c r="H40" s="19" t="s">
        <v>352</v>
      </c>
    </row>
    <row r="41" customFormat="false" ht="18" hidden="false" customHeight="true" outlineLevel="0" collapsed="false">
      <c r="A41" s="52" t="n">
        <v>36</v>
      </c>
      <c r="B41" s="48" t="s">
        <v>421</v>
      </c>
      <c r="C41" s="12" t="s">
        <v>422</v>
      </c>
      <c r="D41" s="49" t="s">
        <v>350</v>
      </c>
      <c r="E41" s="50" t="s">
        <v>351</v>
      </c>
      <c r="F41" s="51"/>
      <c r="G41" s="51"/>
      <c r="H41" s="19" t="s">
        <v>352</v>
      </c>
    </row>
    <row r="42" customFormat="false" ht="18" hidden="false" customHeight="true" outlineLevel="0" collapsed="false">
      <c r="A42" s="47" t="n">
        <v>37</v>
      </c>
      <c r="B42" s="48" t="s">
        <v>423</v>
      </c>
      <c r="C42" s="16" t="s">
        <v>424</v>
      </c>
      <c r="D42" s="49" t="s">
        <v>350</v>
      </c>
      <c r="E42" s="50" t="s">
        <v>351</v>
      </c>
      <c r="F42" s="51"/>
      <c r="G42" s="51"/>
      <c r="H42" s="19" t="s">
        <v>352</v>
      </c>
    </row>
    <row r="43" customFormat="false" ht="18" hidden="false" customHeight="true" outlineLevel="0" collapsed="false">
      <c r="A43" s="52" t="n">
        <v>38</v>
      </c>
      <c r="B43" s="53" t="s">
        <v>425</v>
      </c>
      <c r="C43" s="12" t="s">
        <v>426</v>
      </c>
      <c r="D43" s="54" t="s">
        <v>187</v>
      </c>
      <c r="E43" s="50" t="s">
        <v>351</v>
      </c>
      <c r="F43" s="51"/>
      <c r="G43" s="51"/>
      <c r="H43" s="19" t="s">
        <v>352</v>
      </c>
    </row>
    <row r="44" customFormat="false" ht="18" hidden="false" customHeight="true" outlineLevel="0" collapsed="false">
      <c r="A44" s="47" t="n">
        <v>39</v>
      </c>
      <c r="B44" s="53" t="s">
        <v>427</v>
      </c>
      <c r="C44" s="16" t="s">
        <v>428</v>
      </c>
      <c r="D44" s="54" t="s">
        <v>187</v>
      </c>
      <c r="E44" s="50" t="s">
        <v>351</v>
      </c>
      <c r="F44" s="51"/>
      <c r="G44" s="51"/>
      <c r="H44" s="19" t="s">
        <v>352</v>
      </c>
    </row>
    <row r="45" customFormat="false" ht="18" hidden="false" customHeight="true" outlineLevel="0" collapsed="false">
      <c r="A45" s="52" t="n">
        <v>40</v>
      </c>
      <c r="B45" s="53" t="s">
        <v>429</v>
      </c>
      <c r="C45" s="12" t="s">
        <v>430</v>
      </c>
      <c r="D45" s="54" t="s">
        <v>187</v>
      </c>
      <c r="E45" s="50" t="s">
        <v>351</v>
      </c>
      <c r="F45" s="51"/>
      <c r="G45" s="51"/>
      <c r="H45" s="19" t="s">
        <v>352</v>
      </c>
    </row>
    <row r="46" customFormat="false" ht="18" hidden="false" customHeight="true" outlineLevel="0" collapsed="false">
      <c r="A46" s="47" t="n">
        <v>41</v>
      </c>
      <c r="B46" s="53" t="s">
        <v>431</v>
      </c>
      <c r="C46" s="16" t="s">
        <v>432</v>
      </c>
      <c r="D46" s="54" t="s">
        <v>187</v>
      </c>
      <c r="E46" s="50" t="s">
        <v>351</v>
      </c>
      <c r="F46" s="51"/>
      <c r="G46" s="51"/>
      <c r="H46" s="19" t="s">
        <v>352</v>
      </c>
    </row>
    <row r="47" customFormat="false" ht="18" hidden="false" customHeight="true" outlineLevel="0" collapsed="false">
      <c r="A47" s="52" t="n">
        <v>42</v>
      </c>
      <c r="B47" s="53" t="s">
        <v>433</v>
      </c>
      <c r="C47" s="12" t="s">
        <v>434</v>
      </c>
      <c r="D47" s="54" t="s">
        <v>187</v>
      </c>
      <c r="E47" s="50" t="s">
        <v>351</v>
      </c>
      <c r="F47" s="51"/>
      <c r="G47" s="51"/>
      <c r="H47" s="19" t="s">
        <v>352</v>
      </c>
    </row>
    <row r="48" customFormat="false" ht="18" hidden="false" customHeight="true" outlineLevel="0" collapsed="false">
      <c r="A48" s="47" t="n">
        <v>43</v>
      </c>
      <c r="B48" s="53" t="s">
        <v>435</v>
      </c>
      <c r="C48" s="16" t="s">
        <v>436</v>
      </c>
      <c r="D48" s="54" t="s">
        <v>187</v>
      </c>
      <c r="E48" s="50" t="s">
        <v>351</v>
      </c>
      <c r="F48" s="51"/>
      <c r="G48" s="51"/>
      <c r="H48" s="19" t="s">
        <v>352</v>
      </c>
    </row>
    <row r="49" customFormat="false" ht="18" hidden="false" customHeight="true" outlineLevel="0" collapsed="false">
      <c r="A49" s="52" t="n">
        <v>44</v>
      </c>
      <c r="B49" s="53" t="s">
        <v>437</v>
      </c>
      <c r="C49" s="12" t="s">
        <v>438</v>
      </c>
      <c r="D49" s="54" t="s">
        <v>187</v>
      </c>
      <c r="E49" s="50" t="s">
        <v>351</v>
      </c>
      <c r="F49" s="51"/>
      <c r="G49" s="51"/>
      <c r="H49" s="19" t="s">
        <v>352</v>
      </c>
    </row>
    <row r="50" customFormat="false" ht="18" hidden="false" customHeight="true" outlineLevel="0" collapsed="false">
      <c r="A50" s="47" t="n">
        <v>45</v>
      </c>
      <c r="B50" s="53" t="s">
        <v>439</v>
      </c>
      <c r="C50" s="16" t="s">
        <v>440</v>
      </c>
      <c r="D50" s="54" t="s">
        <v>187</v>
      </c>
      <c r="E50" s="50" t="s">
        <v>351</v>
      </c>
      <c r="F50" s="51"/>
      <c r="G50" s="51"/>
      <c r="H50" s="19" t="s">
        <v>352</v>
      </c>
    </row>
    <row r="51" customFormat="false" ht="18" hidden="false" customHeight="true" outlineLevel="0" collapsed="false">
      <c r="A51" s="52" t="n">
        <v>46</v>
      </c>
      <c r="B51" s="33" t="s">
        <v>441</v>
      </c>
      <c r="C51" s="12" t="s">
        <v>442</v>
      </c>
      <c r="D51" s="55" t="s">
        <v>443</v>
      </c>
      <c r="E51" s="50" t="s">
        <v>351</v>
      </c>
      <c r="F51" s="51"/>
      <c r="G51" s="51"/>
      <c r="H51" s="19" t="s">
        <v>352</v>
      </c>
    </row>
    <row r="52" customFormat="false" ht="18" hidden="false" customHeight="true" outlineLevel="0" collapsed="false">
      <c r="A52" s="47" t="n">
        <v>47</v>
      </c>
      <c r="B52" s="33" t="s">
        <v>444</v>
      </c>
      <c r="C52" s="16" t="s">
        <v>445</v>
      </c>
      <c r="D52" s="55" t="s">
        <v>443</v>
      </c>
      <c r="E52" s="50" t="s">
        <v>351</v>
      </c>
      <c r="F52" s="51"/>
      <c r="G52" s="51"/>
      <c r="H52" s="19" t="s">
        <v>352</v>
      </c>
    </row>
    <row r="53" customFormat="false" ht="18" hidden="false" customHeight="true" outlineLevel="0" collapsed="false">
      <c r="A53" s="52" t="n">
        <v>48</v>
      </c>
      <c r="B53" s="33" t="s">
        <v>446</v>
      </c>
      <c r="C53" s="12" t="s">
        <v>447</v>
      </c>
      <c r="D53" s="55" t="s">
        <v>443</v>
      </c>
      <c r="E53" s="50" t="s">
        <v>351</v>
      </c>
      <c r="F53" s="51"/>
      <c r="G53" s="51"/>
      <c r="H53" s="19" t="s">
        <v>352</v>
      </c>
    </row>
    <row r="54" customFormat="false" ht="18" hidden="false" customHeight="true" outlineLevel="0" collapsed="false">
      <c r="A54" s="47" t="n">
        <v>49</v>
      </c>
      <c r="B54" s="33" t="s">
        <v>448</v>
      </c>
      <c r="C54" s="16" t="s">
        <v>449</v>
      </c>
      <c r="D54" s="55" t="s">
        <v>443</v>
      </c>
      <c r="E54" s="50" t="s">
        <v>351</v>
      </c>
      <c r="F54" s="51"/>
      <c r="G54" s="51"/>
      <c r="H54" s="19" t="s">
        <v>352</v>
      </c>
    </row>
    <row r="55" customFormat="false" ht="18" hidden="false" customHeight="true" outlineLevel="0" collapsed="false">
      <c r="A55" s="52" t="n">
        <v>50</v>
      </c>
      <c r="B55" s="33" t="s">
        <v>450</v>
      </c>
      <c r="C55" s="12" t="s">
        <v>451</v>
      </c>
      <c r="D55" s="55" t="s">
        <v>443</v>
      </c>
      <c r="E55" s="50" t="s">
        <v>351</v>
      </c>
      <c r="F55" s="51"/>
      <c r="G55" s="51"/>
      <c r="H55" s="19" t="s">
        <v>352</v>
      </c>
    </row>
    <row r="56" customFormat="false" ht="18" hidden="false" customHeight="true" outlineLevel="0" collapsed="false">
      <c r="A56" s="47" t="n">
        <v>51</v>
      </c>
      <c r="B56" s="33" t="s">
        <v>452</v>
      </c>
      <c r="C56" s="16" t="s">
        <v>453</v>
      </c>
      <c r="D56" s="55" t="s">
        <v>443</v>
      </c>
      <c r="E56" s="50" t="s">
        <v>351</v>
      </c>
      <c r="F56" s="51"/>
      <c r="G56" s="51"/>
      <c r="H56" s="19" t="s">
        <v>352</v>
      </c>
    </row>
    <row r="57" customFormat="false" ht="18" hidden="false" customHeight="true" outlineLevel="0" collapsed="false">
      <c r="A57" s="52" t="n">
        <v>52</v>
      </c>
      <c r="B57" s="33" t="s">
        <v>454</v>
      </c>
      <c r="C57" s="12" t="s">
        <v>455</v>
      </c>
      <c r="D57" s="55" t="s">
        <v>443</v>
      </c>
      <c r="E57" s="50" t="s">
        <v>351</v>
      </c>
      <c r="F57" s="51"/>
      <c r="G57" s="51"/>
      <c r="H57" s="19" t="s">
        <v>352</v>
      </c>
    </row>
    <row r="58" customFormat="false" ht="18" hidden="false" customHeight="true" outlineLevel="0" collapsed="false">
      <c r="A58" s="47" t="n">
        <v>53</v>
      </c>
      <c r="B58" s="33" t="s">
        <v>456</v>
      </c>
      <c r="C58" s="16" t="s">
        <v>457</v>
      </c>
      <c r="D58" s="55" t="s">
        <v>443</v>
      </c>
      <c r="E58" s="50" t="s">
        <v>351</v>
      </c>
      <c r="F58" s="51"/>
      <c r="G58" s="51"/>
      <c r="H58" s="19" t="s">
        <v>352</v>
      </c>
    </row>
    <row r="59" customFormat="false" ht="18" hidden="false" customHeight="true" outlineLevel="0" collapsed="false">
      <c r="A59" s="52" t="n">
        <v>54</v>
      </c>
      <c r="B59" s="33" t="s">
        <v>458</v>
      </c>
      <c r="C59" s="12" t="s">
        <v>459</v>
      </c>
      <c r="D59" s="55" t="s">
        <v>443</v>
      </c>
      <c r="E59" s="50" t="s">
        <v>351</v>
      </c>
      <c r="F59" s="51"/>
      <c r="G59" s="51"/>
      <c r="H59" s="19" t="s">
        <v>352</v>
      </c>
    </row>
    <row r="60" customFormat="false" ht="18" hidden="false" customHeight="true" outlineLevel="0" collapsed="false">
      <c r="A60" s="47" t="n">
        <v>55</v>
      </c>
      <c r="B60" s="33" t="s">
        <v>460</v>
      </c>
      <c r="C60" s="16" t="s">
        <v>461</v>
      </c>
      <c r="D60" s="55" t="s">
        <v>443</v>
      </c>
      <c r="E60" s="50" t="s">
        <v>351</v>
      </c>
      <c r="F60" s="51"/>
      <c r="G60" s="51"/>
      <c r="H60" s="19" t="s">
        <v>352</v>
      </c>
    </row>
    <row r="61" customFormat="false" ht="18" hidden="false" customHeight="true" outlineLevel="0" collapsed="false">
      <c r="A61" s="52" t="n">
        <v>56</v>
      </c>
      <c r="B61" s="33" t="s">
        <v>462</v>
      </c>
      <c r="C61" s="12" t="s">
        <v>463</v>
      </c>
      <c r="D61" s="55" t="s">
        <v>443</v>
      </c>
      <c r="E61" s="50" t="s">
        <v>351</v>
      </c>
      <c r="F61" s="51"/>
      <c r="G61" s="51"/>
      <c r="H61" s="19" t="s">
        <v>352</v>
      </c>
    </row>
    <row r="62" customFormat="false" ht="18" hidden="false" customHeight="true" outlineLevel="0" collapsed="false">
      <c r="A62" s="47" t="n">
        <v>57</v>
      </c>
      <c r="B62" s="33" t="s">
        <v>464</v>
      </c>
      <c r="C62" s="16" t="s">
        <v>465</v>
      </c>
      <c r="D62" s="55" t="s">
        <v>443</v>
      </c>
      <c r="E62" s="50" t="s">
        <v>351</v>
      </c>
      <c r="F62" s="51"/>
      <c r="G62" s="51"/>
      <c r="H62" s="19" t="s">
        <v>352</v>
      </c>
    </row>
    <row r="63" customFormat="false" ht="18" hidden="false" customHeight="true" outlineLevel="0" collapsed="false">
      <c r="A63" s="52" t="n">
        <v>58</v>
      </c>
      <c r="B63" s="33" t="s">
        <v>466</v>
      </c>
      <c r="C63" s="12" t="s">
        <v>467</v>
      </c>
      <c r="D63" s="55" t="s">
        <v>443</v>
      </c>
      <c r="E63" s="50" t="s">
        <v>351</v>
      </c>
      <c r="F63" s="51"/>
      <c r="G63" s="51"/>
      <c r="H63" s="19" t="s">
        <v>352</v>
      </c>
    </row>
    <row r="64" customFormat="false" ht="18" hidden="false" customHeight="true" outlineLevel="0" collapsed="false">
      <c r="A64" s="47" t="n">
        <v>59</v>
      </c>
      <c r="B64" s="33" t="s">
        <v>468</v>
      </c>
      <c r="C64" s="16" t="s">
        <v>469</v>
      </c>
      <c r="D64" s="55" t="s">
        <v>443</v>
      </c>
      <c r="E64" s="50" t="s">
        <v>351</v>
      </c>
      <c r="F64" s="51"/>
      <c r="G64" s="51"/>
      <c r="H64" s="19" t="s">
        <v>352</v>
      </c>
    </row>
    <row r="65" customFormat="false" ht="18" hidden="false" customHeight="true" outlineLevel="0" collapsed="false">
      <c r="A65" s="52" t="n">
        <v>60</v>
      </c>
      <c r="B65" s="56" t="s">
        <v>470</v>
      </c>
      <c r="C65" s="12" t="s">
        <v>471</v>
      </c>
      <c r="D65" s="57" t="s">
        <v>472</v>
      </c>
      <c r="E65" s="50" t="s">
        <v>351</v>
      </c>
      <c r="F65" s="51"/>
      <c r="G65" s="51"/>
      <c r="H65" s="19" t="s">
        <v>352</v>
      </c>
    </row>
    <row r="66" customFormat="false" ht="18" hidden="false" customHeight="true" outlineLevel="0" collapsed="false">
      <c r="A66" s="47" t="n">
        <v>61</v>
      </c>
      <c r="B66" s="56" t="s">
        <v>473</v>
      </c>
      <c r="C66" s="16" t="s">
        <v>474</v>
      </c>
      <c r="D66" s="57" t="s">
        <v>472</v>
      </c>
      <c r="E66" s="50" t="s">
        <v>351</v>
      </c>
      <c r="F66" s="51"/>
      <c r="G66" s="51"/>
      <c r="H66" s="19" t="s">
        <v>352</v>
      </c>
    </row>
    <row r="67" customFormat="false" ht="18" hidden="false" customHeight="true" outlineLevel="0" collapsed="false">
      <c r="A67" s="52" t="n">
        <v>62</v>
      </c>
      <c r="B67" s="56" t="s">
        <v>475</v>
      </c>
      <c r="C67" s="12" t="s">
        <v>476</v>
      </c>
      <c r="D67" s="57" t="s">
        <v>472</v>
      </c>
      <c r="E67" s="50" t="s">
        <v>351</v>
      </c>
      <c r="F67" s="51"/>
      <c r="G67" s="51"/>
      <c r="H67" s="19" t="s">
        <v>352</v>
      </c>
    </row>
    <row r="68" customFormat="false" ht="18" hidden="false" customHeight="true" outlineLevel="0" collapsed="false">
      <c r="A68" s="47" t="n">
        <v>63</v>
      </c>
      <c r="B68" s="56" t="s">
        <v>477</v>
      </c>
      <c r="C68" s="16" t="s">
        <v>478</v>
      </c>
      <c r="D68" s="57" t="s">
        <v>472</v>
      </c>
      <c r="E68" s="50" t="s">
        <v>351</v>
      </c>
      <c r="F68" s="51"/>
      <c r="G68" s="51"/>
      <c r="H68" s="19" t="s">
        <v>352</v>
      </c>
    </row>
    <row r="69" customFormat="false" ht="18" hidden="false" customHeight="true" outlineLevel="0" collapsed="false">
      <c r="A69" s="52" t="n">
        <v>64</v>
      </c>
      <c r="B69" s="56" t="s">
        <v>479</v>
      </c>
      <c r="C69" s="12" t="s">
        <v>480</v>
      </c>
      <c r="D69" s="57" t="s">
        <v>472</v>
      </c>
      <c r="E69" s="50" t="s">
        <v>351</v>
      </c>
      <c r="F69" s="51"/>
      <c r="G69" s="51"/>
      <c r="H69" s="19" t="s">
        <v>352</v>
      </c>
    </row>
    <row r="70" customFormat="false" ht="18" hidden="false" customHeight="true" outlineLevel="0" collapsed="false">
      <c r="A70" s="47" t="n">
        <v>65</v>
      </c>
      <c r="B70" s="56" t="s">
        <v>481</v>
      </c>
      <c r="C70" s="16" t="s">
        <v>482</v>
      </c>
      <c r="D70" s="57" t="s">
        <v>472</v>
      </c>
      <c r="E70" s="50" t="s">
        <v>351</v>
      </c>
      <c r="F70" s="51"/>
      <c r="G70" s="51"/>
      <c r="H70" s="19" t="s">
        <v>352</v>
      </c>
    </row>
    <row r="71" customFormat="false" ht="18" hidden="false" customHeight="true" outlineLevel="0" collapsed="false">
      <c r="A71" s="52" t="n">
        <v>66</v>
      </c>
      <c r="B71" s="56" t="s">
        <v>483</v>
      </c>
      <c r="C71" s="12" t="s">
        <v>484</v>
      </c>
      <c r="D71" s="57" t="s">
        <v>472</v>
      </c>
      <c r="E71" s="50" t="s">
        <v>351</v>
      </c>
      <c r="F71" s="51"/>
      <c r="G71" s="51"/>
      <c r="H71" s="19" t="s">
        <v>352</v>
      </c>
    </row>
    <row r="72" customFormat="false" ht="18" hidden="false" customHeight="true" outlineLevel="0" collapsed="false">
      <c r="A72" s="47" t="n">
        <v>67</v>
      </c>
      <c r="B72" s="56" t="s">
        <v>485</v>
      </c>
      <c r="C72" s="16" t="s">
        <v>486</v>
      </c>
      <c r="D72" s="57" t="s">
        <v>472</v>
      </c>
      <c r="E72" s="50" t="s">
        <v>351</v>
      </c>
      <c r="F72" s="51"/>
      <c r="G72" s="51"/>
      <c r="H72" s="19" t="s">
        <v>352</v>
      </c>
    </row>
    <row r="73" customFormat="false" ht="18" hidden="false" customHeight="true" outlineLevel="0" collapsed="false">
      <c r="A73" s="52" t="n">
        <v>68</v>
      </c>
      <c r="B73" s="56" t="s">
        <v>487</v>
      </c>
      <c r="C73" s="12" t="s">
        <v>488</v>
      </c>
      <c r="D73" s="57" t="s">
        <v>472</v>
      </c>
      <c r="E73" s="50" t="s">
        <v>351</v>
      </c>
      <c r="F73" s="51"/>
      <c r="G73" s="51"/>
      <c r="H73" s="19" t="s">
        <v>352</v>
      </c>
    </row>
    <row r="74" customFormat="false" ht="18" hidden="false" customHeight="true" outlineLevel="0" collapsed="false">
      <c r="A74" s="47" t="n">
        <v>69</v>
      </c>
      <c r="B74" s="56" t="s">
        <v>489</v>
      </c>
      <c r="C74" s="16" t="s">
        <v>490</v>
      </c>
      <c r="D74" s="57" t="s">
        <v>472</v>
      </c>
      <c r="E74" s="50" t="s">
        <v>351</v>
      </c>
      <c r="F74" s="51"/>
      <c r="G74" s="51"/>
      <c r="H74" s="19" t="s">
        <v>352</v>
      </c>
    </row>
    <row r="75" customFormat="false" ht="18" hidden="false" customHeight="true" outlineLevel="0" collapsed="false">
      <c r="A75" s="52" t="n">
        <v>70</v>
      </c>
      <c r="B75" s="56" t="s">
        <v>491</v>
      </c>
      <c r="C75" s="12" t="s">
        <v>492</v>
      </c>
      <c r="D75" s="57" t="s">
        <v>472</v>
      </c>
      <c r="E75" s="50" t="s">
        <v>351</v>
      </c>
      <c r="F75" s="51"/>
      <c r="G75" s="51"/>
      <c r="H75" s="19" t="s">
        <v>352</v>
      </c>
    </row>
    <row r="76" customFormat="false" ht="18" hidden="false" customHeight="true" outlineLevel="0" collapsed="false">
      <c r="A76" s="47" t="n">
        <v>71</v>
      </c>
      <c r="B76" s="56" t="s">
        <v>493</v>
      </c>
      <c r="C76" s="16" t="s">
        <v>494</v>
      </c>
      <c r="D76" s="57" t="s">
        <v>472</v>
      </c>
      <c r="E76" s="50" t="s">
        <v>351</v>
      </c>
      <c r="F76" s="51"/>
      <c r="G76" s="51"/>
      <c r="H76" s="19" t="s">
        <v>352</v>
      </c>
    </row>
    <row r="77" customFormat="false" ht="18" hidden="false" customHeight="true" outlineLevel="0" collapsed="false">
      <c r="A77" s="52" t="n">
        <v>72</v>
      </c>
      <c r="B77" s="56" t="s">
        <v>495</v>
      </c>
      <c r="C77" s="12" t="s">
        <v>496</v>
      </c>
      <c r="D77" s="57" t="s">
        <v>472</v>
      </c>
      <c r="E77" s="50" t="s">
        <v>351</v>
      </c>
      <c r="F77" s="51"/>
      <c r="G77" s="51"/>
      <c r="H77" s="19" t="s">
        <v>352</v>
      </c>
    </row>
    <row r="78" customFormat="false" ht="18" hidden="false" customHeight="true" outlineLevel="0" collapsed="false">
      <c r="A78" s="47" t="n">
        <v>73</v>
      </c>
      <c r="B78" s="56" t="s">
        <v>497</v>
      </c>
      <c r="C78" s="16" t="s">
        <v>498</v>
      </c>
      <c r="D78" s="57" t="s">
        <v>472</v>
      </c>
      <c r="E78" s="50" t="s">
        <v>351</v>
      </c>
      <c r="F78" s="51"/>
      <c r="G78" s="51"/>
      <c r="H78" s="19" t="s">
        <v>352</v>
      </c>
    </row>
    <row r="79" customFormat="false" ht="18" hidden="false" customHeight="true" outlineLevel="0" collapsed="false">
      <c r="A79" s="52" t="n">
        <v>74</v>
      </c>
      <c r="B79" s="56" t="s">
        <v>499</v>
      </c>
      <c r="C79" s="12" t="s">
        <v>500</v>
      </c>
      <c r="D79" s="57" t="s">
        <v>472</v>
      </c>
      <c r="E79" s="50" t="s">
        <v>351</v>
      </c>
      <c r="F79" s="51"/>
      <c r="G79" s="51"/>
      <c r="H79" s="19" t="s">
        <v>352</v>
      </c>
    </row>
    <row r="80" customFormat="false" ht="18" hidden="false" customHeight="true" outlineLevel="0" collapsed="false">
      <c r="A80" s="47" t="n">
        <v>75</v>
      </c>
      <c r="B80" s="56" t="s">
        <v>501</v>
      </c>
      <c r="C80" s="16" t="s">
        <v>502</v>
      </c>
      <c r="D80" s="57" t="s">
        <v>472</v>
      </c>
      <c r="E80" s="50" t="s">
        <v>351</v>
      </c>
      <c r="F80" s="51"/>
      <c r="G80" s="51"/>
      <c r="H80" s="19" t="s">
        <v>352</v>
      </c>
    </row>
    <row r="81" customFormat="false" ht="18" hidden="false" customHeight="true" outlineLevel="0" collapsed="false">
      <c r="A81" s="52" t="n">
        <v>76</v>
      </c>
      <c r="B81" s="56" t="s">
        <v>503</v>
      </c>
      <c r="C81" s="12" t="s">
        <v>504</v>
      </c>
      <c r="D81" s="57" t="s">
        <v>472</v>
      </c>
      <c r="E81" s="50" t="s">
        <v>351</v>
      </c>
      <c r="F81" s="51"/>
      <c r="G81" s="51"/>
      <c r="H81" s="19" t="s">
        <v>352</v>
      </c>
    </row>
    <row r="82" customFormat="false" ht="18" hidden="false" customHeight="true" outlineLevel="0" collapsed="false">
      <c r="A82" s="47" t="n">
        <v>77</v>
      </c>
      <c r="B82" s="56" t="s">
        <v>505</v>
      </c>
      <c r="C82" s="16" t="s">
        <v>506</v>
      </c>
      <c r="D82" s="57" t="s">
        <v>472</v>
      </c>
      <c r="E82" s="50" t="s">
        <v>351</v>
      </c>
      <c r="F82" s="51"/>
      <c r="G82" s="51"/>
      <c r="H82" s="19" t="s">
        <v>352</v>
      </c>
    </row>
    <row r="83" customFormat="false" ht="18" hidden="false" customHeight="true" outlineLevel="0" collapsed="false">
      <c r="A83" s="52" t="n">
        <v>78</v>
      </c>
      <c r="B83" s="56" t="s">
        <v>507</v>
      </c>
      <c r="C83" s="12" t="s">
        <v>508</v>
      </c>
      <c r="D83" s="57" t="s">
        <v>472</v>
      </c>
      <c r="E83" s="50" t="s">
        <v>351</v>
      </c>
      <c r="F83" s="51"/>
      <c r="G83" s="51"/>
      <c r="H83" s="19" t="s">
        <v>352</v>
      </c>
    </row>
    <row r="84" customFormat="false" ht="18" hidden="false" customHeight="true" outlineLevel="0" collapsed="false">
      <c r="A84" s="47" t="n">
        <v>79</v>
      </c>
      <c r="B84" s="56" t="s">
        <v>509</v>
      </c>
      <c r="C84" s="16" t="s">
        <v>510</v>
      </c>
      <c r="D84" s="57" t="s">
        <v>472</v>
      </c>
      <c r="E84" s="50" t="s">
        <v>351</v>
      </c>
      <c r="F84" s="51"/>
      <c r="G84" s="51"/>
      <c r="H84" s="19" t="s">
        <v>352</v>
      </c>
    </row>
    <row r="85" customFormat="false" ht="18" hidden="false" customHeight="true" outlineLevel="0" collapsed="false">
      <c r="A85" s="52" t="n">
        <v>80</v>
      </c>
      <c r="B85" s="56" t="s">
        <v>511</v>
      </c>
      <c r="C85" s="12" t="s">
        <v>512</v>
      </c>
      <c r="D85" s="57" t="s">
        <v>472</v>
      </c>
      <c r="E85" s="50" t="s">
        <v>351</v>
      </c>
      <c r="F85" s="51"/>
      <c r="G85" s="51"/>
      <c r="H85" s="19" t="s">
        <v>352</v>
      </c>
    </row>
    <row r="86" customFormat="false" ht="18" hidden="false" customHeight="true" outlineLevel="0" collapsed="false">
      <c r="A86" s="47" t="n">
        <v>81</v>
      </c>
      <c r="B86" s="56" t="s">
        <v>513</v>
      </c>
      <c r="C86" s="16" t="s">
        <v>514</v>
      </c>
      <c r="D86" s="57" t="s">
        <v>472</v>
      </c>
      <c r="E86" s="50" t="s">
        <v>351</v>
      </c>
      <c r="F86" s="51"/>
      <c r="G86" s="51"/>
      <c r="H86" s="19" t="s">
        <v>352</v>
      </c>
    </row>
    <row r="87" customFormat="false" ht="18" hidden="false" customHeight="true" outlineLevel="0" collapsed="false">
      <c r="A87" s="52" t="n">
        <v>82</v>
      </c>
      <c r="B87" s="56" t="s">
        <v>515</v>
      </c>
      <c r="C87" s="12" t="s">
        <v>516</v>
      </c>
      <c r="D87" s="57" t="s">
        <v>472</v>
      </c>
      <c r="E87" s="50" t="s">
        <v>351</v>
      </c>
      <c r="F87" s="51"/>
      <c r="G87" s="51"/>
      <c r="H87" s="19" t="s">
        <v>352</v>
      </c>
    </row>
    <row r="88" customFormat="false" ht="18" hidden="false" customHeight="true" outlineLevel="0" collapsed="false">
      <c r="A88" s="47" t="n">
        <v>83</v>
      </c>
      <c r="B88" s="56" t="s">
        <v>517</v>
      </c>
      <c r="C88" s="16" t="s">
        <v>518</v>
      </c>
      <c r="D88" s="57" t="s">
        <v>472</v>
      </c>
      <c r="E88" s="50" t="s">
        <v>351</v>
      </c>
      <c r="F88" s="51"/>
      <c r="G88" s="51"/>
      <c r="H88" s="19" t="s">
        <v>352</v>
      </c>
    </row>
    <row r="89" customFormat="false" ht="18" hidden="false" customHeight="true" outlineLevel="0" collapsed="false">
      <c r="A89" s="52" t="n">
        <v>84</v>
      </c>
      <c r="B89" s="56" t="s">
        <v>519</v>
      </c>
      <c r="C89" s="12" t="s">
        <v>520</v>
      </c>
      <c r="D89" s="57" t="s">
        <v>472</v>
      </c>
      <c r="E89" s="50" t="s">
        <v>351</v>
      </c>
      <c r="F89" s="51"/>
      <c r="G89" s="51"/>
      <c r="H89" s="19" t="s">
        <v>352</v>
      </c>
    </row>
    <row r="90" customFormat="false" ht="18" hidden="false" customHeight="true" outlineLevel="0" collapsed="false">
      <c r="A90" s="47" t="n">
        <v>85</v>
      </c>
      <c r="B90" s="56" t="s">
        <v>521</v>
      </c>
      <c r="C90" s="16" t="s">
        <v>522</v>
      </c>
      <c r="D90" s="57" t="s">
        <v>472</v>
      </c>
      <c r="E90" s="50" t="s">
        <v>351</v>
      </c>
      <c r="F90" s="51"/>
      <c r="G90" s="51"/>
      <c r="H90" s="19" t="s">
        <v>352</v>
      </c>
    </row>
    <row r="91" customFormat="false" ht="18" hidden="false" customHeight="true" outlineLevel="0" collapsed="false">
      <c r="A91" s="52" t="n">
        <v>86</v>
      </c>
      <c r="B91" s="56" t="s">
        <v>523</v>
      </c>
      <c r="C91" s="12" t="s">
        <v>524</v>
      </c>
      <c r="D91" s="57" t="s">
        <v>472</v>
      </c>
      <c r="E91" s="50" t="s">
        <v>351</v>
      </c>
      <c r="F91" s="51"/>
      <c r="G91" s="51"/>
      <c r="H91" s="19" t="s">
        <v>352</v>
      </c>
    </row>
    <row r="92" customFormat="false" ht="18" hidden="false" customHeight="true" outlineLevel="0" collapsed="false">
      <c r="A92" s="47" t="n">
        <v>87</v>
      </c>
      <c r="B92" s="56" t="s">
        <v>525</v>
      </c>
      <c r="C92" s="16" t="s">
        <v>526</v>
      </c>
      <c r="D92" s="57" t="s">
        <v>472</v>
      </c>
      <c r="E92" s="50" t="s">
        <v>351</v>
      </c>
      <c r="F92" s="51"/>
      <c r="G92" s="51"/>
      <c r="H92" s="19" t="s">
        <v>352</v>
      </c>
    </row>
    <row r="93" customFormat="false" ht="18" hidden="false" customHeight="true" outlineLevel="0" collapsed="false">
      <c r="A93" s="52" t="n">
        <v>88</v>
      </c>
      <c r="B93" s="56" t="s">
        <v>527</v>
      </c>
      <c r="C93" s="12" t="s">
        <v>528</v>
      </c>
      <c r="D93" s="57" t="s">
        <v>472</v>
      </c>
      <c r="E93" s="50" t="s">
        <v>351</v>
      </c>
      <c r="F93" s="51"/>
      <c r="G93" s="51"/>
      <c r="H93" s="19" t="s">
        <v>352</v>
      </c>
    </row>
    <row r="94" customFormat="false" ht="18" hidden="false" customHeight="true" outlineLevel="0" collapsed="false">
      <c r="A94" s="47" t="n">
        <v>89</v>
      </c>
      <c r="B94" s="56" t="s">
        <v>529</v>
      </c>
      <c r="C94" s="16" t="s">
        <v>530</v>
      </c>
      <c r="D94" s="57" t="s">
        <v>472</v>
      </c>
      <c r="E94" s="50" t="s">
        <v>351</v>
      </c>
      <c r="F94" s="51"/>
      <c r="G94" s="51"/>
      <c r="H94" s="19" t="s">
        <v>352</v>
      </c>
    </row>
    <row r="95" customFormat="false" ht="18" hidden="false" customHeight="true" outlineLevel="0" collapsed="false">
      <c r="A95" s="52" t="n">
        <v>90</v>
      </c>
      <c r="B95" s="56" t="s">
        <v>531</v>
      </c>
      <c r="C95" s="12" t="s">
        <v>532</v>
      </c>
      <c r="D95" s="57" t="s">
        <v>472</v>
      </c>
      <c r="E95" s="50" t="s">
        <v>351</v>
      </c>
      <c r="F95" s="51"/>
      <c r="G95" s="51"/>
      <c r="H95" s="19" t="s">
        <v>352</v>
      </c>
    </row>
    <row r="96" customFormat="false" ht="18" hidden="false" customHeight="true" outlineLevel="0" collapsed="false">
      <c r="A96" s="47" t="n">
        <v>91</v>
      </c>
      <c r="B96" s="56" t="s">
        <v>533</v>
      </c>
      <c r="C96" s="16" t="s">
        <v>534</v>
      </c>
      <c r="D96" s="57" t="s">
        <v>472</v>
      </c>
      <c r="E96" s="50" t="s">
        <v>351</v>
      </c>
      <c r="F96" s="51"/>
      <c r="G96" s="51"/>
      <c r="H96" s="19" t="s">
        <v>352</v>
      </c>
    </row>
    <row r="97" customFormat="false" ht="18" hidden="false" customHeight="true" outlineLevel="0" collapsed="false">
      <c r="A97" s="52" t="n">
        <v>92</v>
      </c>
      <c r="B97" s="56" t="s">
        <v>535</v>
      </c>
      <c r="C97" s="12" t="s">
        <v>536</v>
      </c>
      <c r="D97" s="57" t="s">
        <v>472</v>
      </c>
      <c r="E97" s="50" t="s">
        <v>351</v>
      </c>
      <c r="F97" s="51"/>
      <c r="G97" s="51"/>
      <c r="H97" s="19" t="s">
        <v>352</v>
      </c>
    </row>
    <row r="98" customFormat="false" ht="18" hidden="false" customHeight="true" outlineLevel="0" collapsed="false">
      <c r="A98" s="47" t="n">
        <v>93</v>
      </c>
      <c r="B98" s="56" t="s">
        <v>537</v>
      </c>
      <c r="C98" s="16" t="s">
        <v>538</v>
      </c>
      <c r="D98" s="57" t="s">
        <v>472</v>
      </c>
      <c r="E98" s="50" t="s">
        <v>351</v>
      </c>
      <c r="F98" s="51"/>
      <c r="G98" s="51"/>
      <c r="H98" s="19" t="s">
        <v>352</v>
      </c>
    </row>
    <row r="100" customFormat="false" ht="21.75" hidden="false" customHeight="true" outlineLevel="0" collapsed="false">
      <c r="B100" s="24" t="s">
        <v>539</v>
      </c>
      <c r="C100" s="24"/>
      <c r="D100" s="24"/>
      <c r="E100" s="24"/>
      <c r="F100" s="24"/>
      <c r="G100" s="24"/>
      <c r="H100" s="24"/>
    </row>
  </sheetData>
  <mergeCells count="4">
    <mergeCell ref="A1:H1"/>
    <mergeCell ref="A2:H2"/>
    <mergeCell ref="A3:H3"/>
    <mergeCell ref="B100:H100"/>
  </mergeCells>
  <dataValidations count="2">
    <dataValidation allowBlank="true" errorStyle="stop" operator="between" showDropDown="false" showErrorMessage="false" showInputMessage="false" sqref="E6:E98" type="list">
      <formula1>"Sí,No,Parcial"</formula1>
      <formula2>0</formula2>
    </dataValidation>
    <dataValidation allowBlank="true" errorStyle="stop" operator="between" showDropDown="false" showErrorMessage="false" showInputMessage="false" sqref="H6:H98" type="list">
      <formula1>"No implementado,En diseño,En implementación,Implementado,Implementado y verificado"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4"/>
  </cols>
  <sheetData>
    <row r="1" customFormat="false" ht="37.5" hidden="false" customHeight="true" outlineLevel="0" collapsed="false">
      <c r="A1" s="1" t="s">
        <v>540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541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" hidden="false" customHeight="true" outlineLevel="0" collapsed="false">
      <c r="A3" s="3" t="s">
        <v>542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1.75" hidden="false" customHeight="true" outlineLevel="0" collapsed="false">
      <c r="B5" s="58" t="s">
        <v>543</v>
      </c>
      <c r="C5" s="58"/>
      <c r="D5" s="58"/>
      <c r="E5" s="59" t="s">
        <v>544</v>
      </c>
      <c r="F5" s="59"/>
      <c r="G5" s="59"/>
      <c r="H5" s="60" t="s">
        <v>545</v>
      </c>
      <c r="I5" s="60"/>
      <c r="J5" s="60"/>
      <c r="K5" s="61" t="s">
        <v>546</v>
      </c>
      <c r="L5" s="61"/>
      <c r="M5" s="61"/>
    </row>
    <row r="6" customFormat="false" ht="129.75" hidden="false" customHeight="true" outlineLevel="0" collapsed="false">
      <c r="B6" s="62" t="s">
        <v>547</v>
      </c>
      <c r="C6" s="62"/>
      <c r="D6" s="62"/>
      <c r="E6" s="63" t="s">
        <v>548</v>
      </c>
      <c r="F6" s="63"/>
      <c r="G6" s="63"/>
      <c r="H6" s="62" t="s">
        <v>549</v>
      </c>
      <c r="I6" s="62"/>
      <c r="J6" s="62"/>
      <c r="K6" s="63" t="s">
        <v>550</v>
      </c>
      <c r="L6" s="63"/>
      <c r="M6" s="63"/>
    </row>
  </sheetData>
  <mergeCells count="11">
    <mergeCell ref="A1:M1"/>
    <mergeCell ref="A2:M2"/>
    <mergeCell ref="A3:M3"/>
    <mergeCell ref="B5:D5"/>
    <mergeCell ref="E5:G5"/>
    <mergeCell ref="H5:J5"/>
    <mergeCell ref="K5:M5"/>
    <mergeCell ref="B6:D6"/>
    <mergeCell ref="E6:G6"/>
    <mergeCell ref="H6:J6"/>
    <mergeCell ref="K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2" min="2" style="0" width="15"/>
  </cols>
  <sheetData>
    <row r="1" customFormat="false" ht="37.5" hidden="false" customHeight="true" outlineLevel="0" collapsed="false">
      <c r="A1" s="1" t="s">
        <v>551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552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8" hidden="false" customHeight="true" outlineLevel="0" collapsed="false">
      <c r="A3" s="3" t="s">
        <v>553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3.5" hidden="false" customHeight="true" outlineLevel="0" collapsed="false">
      <c r="B5" s="58"/>
      <c r="C5" s="58"/>
      <c r="D5" s="64"/>
      <c r="E5" s="64"/>
      <c r="F5" s="58"/>
      <c r="G5" s="58"/>
      <c r="H5" s="64"/>
      <c r="I5" s="64"/>
      <c r="J5" s="59"/>
      <c r="K5" s="59"/>
      <c r="L5" s="65"/>
      <c r="M5" s="65"/>
    </row>
    <row r="6" customFormat="false" ht="39.75" hidden="false" customHeight="true" outlineLevel="0" collapsed="false">
      <c r="B6" s="66" t="n">
        <f aca="false">COUNTA('2-Inventario Activos'!C6:C25)</f>
        <v>20</v>
      </c>
      <c r="C6" s="66"/>
      <c r="D6" s="67" t="n">
        <f aca="false">COUNTIF('2-Inventario Activos'!J6:J25,"🔴 CRÍTICO")</f>
        <v>15</v>
      </c>
      <c r="E6" s="67"/>
      <c r="F6" s="66" t="n">
        <f aca="false">COUNTA('4-Matriz Riesgos'!C6:C17)</f>
        <v>12</v>
      </c>
      <c r="G6" s="66"/>
      <c r="H6" s="67" t="n">
        <f aca="false">COUNTIF('4-Matriz Riesgos'!G6:G17,"&gt;=16")</f>
        <v>3</v>
      </c>
      <c r="I6" s="67"/>
      <c r="J6" s="68" t="n">
        <f aca="false">COUNTIF('6-SoA Anexo A'!H6:H98,"Implementado y verificado")</f>
        <v>0</v>
      </c>
      <c r="K6" s="68"/>
      <c r="L6" s="69" t="n">
        <f aca="false">93</f>
        <v>93</v>
      </c>
      <c r="M6" s="69"/>
    </row>
    <row r="7" customFormat="false" ht="24" hidden="false" customHeight="true" outlineLevel="0" collapsed="false">
      <c r="B7" s="70" t="s">
        <v>554</v>
      </c>
      <c r="C7" s="70"/>
      <c r="D7" s="71" t="s">
        <v>555</v>
      </c>
      <c r="E7" s="71"/>
      <c r="F7" s="70" t="s">
        <v>556</v>
      </c>
      <c r="G7" s="70"/>
      <c r="H7" s="71" t="s">
        <v>557</v>
      </c>
      <c r="I7" s="71"/>
      <c r="J7" s="72" t="s">
        <v>558</v>
      </c>
      <c r="K7" s="72"/>
      <c r="L7" s="73" t="s">
        <v>559</v>
      </c>
      <c r="M7" s="73"/>
    </row>
    <row r="9" customFormat="false" ht="19.5" hidden="false" customHeight="true" outlineLevel="0" collapsed="false">
      <c r="B9" s="36" t="s">
        <v>560</v>
      </c>
      <c r="C9" s="36"/>
      <c r="D9" s="36"/>
      <c r="E9" s="36"/>
      <c r="F9" s="36"/>
      <c r="G9" s="36"/>
    </row>
    <row r="10" customFormat="false" ht="21.75" hidden="false" customHeight="true" outlineLevel="0" collapsed="false">
      <c r="B10" s="7" t="s">
        <v>561</v>
      </c>
      <c r="C10" s="7" t="s">
        <v>562</v>
      </c>
      <c r="D10" s="7" t="s">
        <v>563</v>
      </c>
    </row>
    <row r="11" customFormat="false" ht="18" hidden="false" customHeight="true" outlineLevel="0" collapsed="false">
      <c r="B11" s="29" t="s">
        <v>260</v>
      </c>
      <c r="C11" s="74" t="n">
        <f aca="false">COUNTIF('4-Matriz Riesgos'!H6:H17,"CRÍTICO")</f>
        <v>3</v>
      </c>
      <c r="D11" s="75" t="n">
        <f aca="false">C11/12</f>
        <v>0.25</v>
      </c>
    </row>
    <row r="12" customFormat="false" ht="18" hidden="false" customHeight="true" outlineLevel="0" collapsed="false">
      <c r="B12" s="33" t="s">
        <v>269</v>
      </c>
      <c r="C12" s="76" t="n">
        <f aca="false">COUNTIF('4-Matriz Riesgos'!H6:H17,"ALTO")</f>
        <v>3</v>
      </c>
      <c r="D12" s="77" t="n">
        <f aca="false">C12/12</f>
        <v>0.25</v>
      </c>
    </row>
    <row r="13" customFormat="false" ht="18" hidden="false" customHeight="true" outlineLevel="0" collapsed="false">
      <c r="B13" s="35" t="s">
        <v>273</v>
      </c>
      <c r="C13" s="78" t="n">
        <f aca="false">COUNTIF('4-Matriz Riesgos'!H6:H17,"MEDIO")</f>
        <v>6</v>
      </c>
      <c r="D13" s="79" t="n">
        <f aca="false">C13/12</f>
        <v>0.5</v>
      </c>
    </row>
    <row r="14" customFormat="false" ht="18" hidden="false" customHeight="true" outlineLevel="0" collapsed="false">
      <c r="B14" s="56" t="s">
        <v>564</v>
      </c>
      <c r="C14" s="80" t="n">
        <f aca="false">COUNTIF('4-Matriz Riesgos'!H6:H17,"BAJO")</f>
        <v>0</v>
      </c>
      <c r="D14" s="81" t="n">
        <f aca="false">C14/12</f>
        <v>0</v>
      </c>
    </row>
    <row r="16" customFormat="false" ht="19.5" hidden="false" customHeight="true" outlineLevel="0" collapsed="false">
      <c r="B16" s="36" t="s">
        <v>565</v>
      </c>
      <c r="C16" s="36"/>
      <c r="D16" s="36"/>
      <c r="E16" s="36"/>
      <c r="F16" s="36"/>
      <c r="G16" s="36"/>
    </row>
    <row r="17" customFormat="false" ht="21.75" hidden="false" customHeight="true" outlineLevel="0" collapsed="false">
      <c r="B17" s="7" t="s">
        <v>35</v>
      </c>
      <c r="C17" s="7" t="s">
        <v>566</v>
      </c>
    </row>
    <row r="18" customFormat="false" ht="18" hidden="false" customHeight="true" outlineLevel="0" collapsed="false">
      <c r="B18" s="48" t="s">
        <v>350</v>
      </c>
      <c r="C18" s="82" t="n">
        <v>37</v>
      </c>
    </row>
    <row r="19" customFormat="false" ht="18" hidden="false" customHeight="true" outlineLevel="0" collapsed="false">
      <c r="B19" s="53" t="s">
        <v>187</v>
      </c>
      <c r="C19" s="83" t="n">
        <v>8</v>
      </c>
    </row>
    <row r="20" customFormat="false" ht="18" hidden="false" customHeight="true" outlineLevel="0" collapsed="false">
      <c r="B20" s="33" t="s">
        <v>443</v>
      </c>
      <c r="C20" s="76" t="n">
        <v>14</v>
      </c>
    </row>
    <row r="21" customFormat="false" ht="18" hidden="false" customHeight="true" outlineLevel="0" collapsed="false">
      <c r="B21" s="56" t="s">
        <v>472</v>
      </c>
      <c r="C21" s="80" t="n">
        <v>34</v>
      </c>
    </row>
  </sheetData>
  <mergeCells count="23">
    <mergeCell ref="A1:L1"/>
    <mergeCell ref="A2:L2"/>
    <mergeCell ref="A3:L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9:G9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2026-06-30T20:00:16Z</dcterms:created>
  <dc:creator>openpyxl</dc:creator>
  <dc:description/>
  <dc:language>en-US</dc:language>
  <cp:lastModifiedBy/>
  <dcterms:modified xsi:type="dcterms:W3CDTF">2026-06-30T20:00:16Z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